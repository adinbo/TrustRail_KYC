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Exec Summary &amp; Strategy" sheetId="1" r:id="rId1"/>
    <sheet name="2. Master Schedule (WBS)" sheetId="2" r:id="rId2"/>
    <sheet name="3. 16-Week Gantt Timeline" sheetId="3" r:id="rId3"/>
    <sheet name="4. Partner RACI &amp; Governance" sheetId="4" r:id="rId4"/>
    <sheet name="5. Complete Budget &amp; Costs" sheetId="5" r:id="rId5"/>
    <sheet name="6. BoG Sandbox Filing Checklist" sheetId="6" r:id="rId6"/>
    <sheet name="7. Corporate &amp; Reg Guide" sheetId="7" r:id="rId7"/>
  </sheets>
  <calcPr calcId="124519" fullCalcOnLoad="1"/>
</workbook>
</file>

<file path=xl/sharedStrings.xml><?xml version="1.0" encoding="utf-8"?>
<sst xmlns="http://schemas.openxmlformats.org/spreadsheetml/2006/main" count="928" uniqueCount="490">
  <si>
    <t>TRUSTRAIL INFRASTRUCTURE &amp; VASP LICENSING ROADMAP</t>
  </si>
  <si>
    <t>Complete Corporate, Regulatory, Technology &amp; Banking Execution Plan across 3 Partners | 16-Week Schedule</t>
  </si>
  <si>
    <t>1. STRATEGIC ARCHITECTURE: THE 3 CORE UNITS</t>
  </si>
  <si>
    <t>Unit Name</t>
  </si>
  <si>
    <t>Scope &amp; Responsibilities</t>
  </si>
  <si>
    <t>Regulatory Anchor (Act 1154)</t>
  </si>
  <si>
    <t>Target Deliverables</t>
  </si>
  <si>
    <t>Lead Partner</t>
  </si>
  <si>
    <t>UNIT 1: TrustRail-KYC</t>
  </si>
  <si>
    <t>Identity Verification, Biometrics, Liveness, GhanaPost GPS, Document OCR, PII Masking &amp; Pre-Flight CDD Validation</t>
  </si>
  <si>
    <t>Act 1154 §33(1), AML Act 1044, Data Protection Act 843</t>
  </si>
  <si>
    <t>Standalone API (Port 3333), QoreID/Smile ID connectors, In-house CV engine, GhanaPost GPS, Mock/Live NIA client</t>
  </si>
  <si>
    <t>Partner 1 (Tech Lead)</t>
  </si>
  <si>
    <t>UNIT 2: TrustRail-AML</t>
  </si>
  <si>
    <t>In-Flight Transaction Monitoring, Travel Rule Payloads, On-Chain Forensics, goAML STR/CTR Reports, Batch Re-Screening</t>
  </si>
  <si>
    <t>Act 1154 §33(3)-(4), BoG Enhanced MM Tiers, FIC Directives</t>
  </si>
  <si>
    <t>OpenSanctions engine, Travel Rule payload engine, Chainalysis/TRM integration, 24h STR alert pipeline, Re-screening worker</t>
  </si>
  <si>
    <t>Partner 2 (Compliance Lead)</t>
  </si>
  <si>
    <t>UNIT 3: TrustRail-Rail</t>
  </si>
  <si>
    <t>CediRamp On/Off-Ramp, Mobile Money Rails (MTN MoMo/Telecel), Base L2 USDC Settlement, Segregated Custody Float</t>
  </si>
  <si>
    <t>Act 1154 Schedule Category 4 (Payment Processor) &amp; Category 1 (Dealing)</t>
  </si>
  <si>
    <t>Production MoMo API, Multi-sig custodial float, Idempotent quote/order engine, Signed webhooks, Bank float partnership</t>
  </si>
  <si>
    <t>Partner 3 (Ops &amp; Banking Lead)</t>
  </si>
  <si>
    <t>2. PARTNER RESPONSIBILITY &amp; GOVERNANCE MATRIX</t>
  </si>
  <si>
    <t>Partner</t>
  </si>
  <si>
    <t>Primary Executive Role</t>
  </si>
  <si>
    <t>Core Workstream Ownership</t>
  </si>
  <si>
    <t>External Institutional Counterparts</t>
  </si>
  <si>
    <t>Time Commitment</t>
  </si>
  <si>
    <t>PARTNER 1</t>
  </si>
  <si>
    <t>Chief Technology Officer / Tech Lead</t>
  </si>
  <si>
    <t>Unit 1 Core (KYC &amp; Biometrics), Unit 3 Backend Architecture, API Gateway, Security Hardening, Cryptographic Webhooks &amp; L2 Settlement</t>
  </si>
  <si>
    <t>Technical Vendor Dev Relations (Smile ID, QoreID, Infura/Base, Cloudflare, External Pentest Auditors)</t>
  </si>
  <si>
    <t>Full-Time (40h/wk)</t>
  </si>
  <si>
    <t>PARTNER 2</t>
  </si>
  <si>
    <t>Chief Compliance Officer / RegTech Lead</t>
  </si>
  <si>
    <t>Unit 2 Core (AML &amp; Travel Rule), OpenSanctions, FIC goAML Reporting, AML/CFT Policies, Data Protection (DPC) &amp; Cybersecurity Authority (CSA) filings</t>
  </si>
  <si>
    <t>Financial Intelligence Centre (FIC), Data Protection Commission (DPC), Forensics (Chainalysis/TRM Labs), Legal Counsel</t>
  </si>
  <si>
    <t>PARTNER 3</t>
  </si>
  <si>
    <t>Chief Operating Officer / Banking &amp; Reg Lead</t>
  </si>
  <si>
    <t>Office of Registrar of Companies (ORC), Bank of Ghana (VARO/VAD) Sandbox Application, Partner Bank Escrow/Float Structuring, MTN MoMo Contract</t>
  </si>
  <si>
    <t>Office of Registrar of Companies, Bank of Ghana (VARO), Partner Banks (Stanbic/Ecobank/CalBank), MTN Ghana, B2B Clients</t>
  </si>
  <si>
    <t>3. KEY PROGRAM MILESTONES &amp; REGULATORY GATES</t>
  </si>
  <si>
    <t>Milestone Gate</t>
  </si>
  <si>
    <t>Target Window</t>
  </si>
  <si>
    <t>Required Deliverables &amp; Pre-conditions</t>
  </si>
  <si>
    <t>Exit Gate / Success Verification</t>
  </si>
  <si>
    <t>Status</t>
  </si>
  <si>
    <t>M1: Corporate Formation &amp; Standalone KYC</t>
  </si>
  <si>
    <t>Week 4</t>
  </si>
  <si>
    <t>ORC Incorporation, TIN/GRA, SSNIT, TrustRail-KYC completed with QoreID, Smile ID &amp; GhanaPost GPS</t>
  </si>
  <si>
    <t>Certificate of Incorporation issued, 100% KYC test pass, verified live QoreID check</t>
  </si>
  <si>
    <t>COMPLETED</t>
  </si>
  <si>
    <t>M2: AML Travel Rule &amp; Partner Bank Float</t>
  </si>
  <si>
    <t>Week 8</t>
  </si>
  <si>
    <t>Travel Rule payload engine, goAML STR pipeline, DPC Controller Cert, Bank escrow terms agreed</t>
  </si>
  <si>
    <t>Mock Travel Rule message verified, DPC certificate issued, Partner Bank term sheet signed</t>
  </si>
  <si>
    <t>IN PROGRESS</t>
  </si>
  <si>
    <t>M3: Bank of Ghana VARO Sandbox Filing</t>
  </si>
  <si>
    <t>Week 12</t>
  </si>
  <si>
    <t>Complete 9-part VASP statutory application submitted to Bank of Ghana VARO under Act 1154</t>
  </si>
  <si>
    <t>Official acknowledgment, receipt of application fee, and VARO interview scheduled</t>
  </si>
  <si>
    <t>PLANNED</t>
  </si>
  <si>
    <t>M4: Live Sandbox Operations &amp; B2B Launch</t>
  </si>
  <si>
    <t>Week 16</t>
  </si>
  <si>
    <t>Production MTN MoMo live, Base mainnet settlement, live B2B partner pilot (Mmabia &amp; 1 other)</t>
  </si>
  <si>
    <t>Live GHS 500k volume processed in sandbox with zero AML/KYC audit infractions</t>
  </si>
  <si>
    <t>TRUSTRAIL 16-WEEK MASTER WORK BREAKDOWN SCHEDULE</t>
  </si>
  <si>
    <t>Complete Inventory Across Corporate Setup, Licensing, Technology, AML, Banking &amp; Operations</t>
  </si>
  <si>
    <t>Task ID</t>
  </si>
  <si>
    <t>Workstream</t>
  </si>
  <si>
    <t>Task Name &amp; Description</t>
  </si>
  <si>
    <t>Start Wk</t>
  </si>
  <si>
    <t>End Wk</t>
  </si>
  <si>
    <t>Duration</t>
  </si>
  <si>
    <t>Deliverable</t>
  </si>
  <si>
    <t>Regulatory Anchor</t>
  </si>
  <si>
    <t>CORP-01</t>
  </si>
  <si>
    <t>Corporate &amp; Legal</t>
  </si>
  <si>
    <t>Company Incorporation (ORC) - Ltd by Shares</t>
  </si>
  <si>
    <t>Partner 3</t>
  </si>
  <si>
    <t>W1</t>
  </si>
  <si>
    <t>W2</t>
  </si>
  <si>
    <t>2 wks</t>
  </si>
  <si>
    <t>DONE</t>
  </si>
  <si>
    <t>Certificate of Incorporation &amp; Constitution</t>
  </si>
  <si>
    <t>Companies Act 2019 (Act 992)</t>
  </si>
  <si>
    <t>CORP-02</t>
  </si>
  <si>
    <t>GRA Taxpayer Identification (TIN) &amp; VAT Setup</t>
  </si>
  <si>
    <t>W3</t>
  </si>
  <si>
    <t>Corporate TIN &amp; Tax Clearance Portal</t>
  </si>
  <si>
    <t>GRA Revenue Administration Act</t>
  </si>
  <si>
    <t>CORP-03</t>
  </si>
  <si>
    <t>SSNIT Employer Registration &amp; Certificate</t>
  </si>
  <si>
    <t>SSNIT Employer Certificate</t>
  </si>
  <si>
    <t>National Pensions Act 766</t>
  </si>
  <si>
    <t>CORP-04</t>
  </si>
  <si>
    <t>Physical Office Lease &amp; Business Operating Permit</t>
  </si>
  <si>
    <t>W4</t>
  </si>
  <si>
    <t>3 wks</t>
  </si>
  <si>
    <t>Commercial Lease &amp; MMDA Operating Permit</t>
  </si>
  <si>
    <t>Act 1154 §21 (Registered Office)</t>
  </si>
  <si>
    <t>CORP-05</t>
  </si>
  <si>
    <t>Board Resolution &amp; 3-Director Governance Setup</t>
  </si>
  <si>
    <t>All Partners</t>
  </si>
  <si>
    <t>Board Minutes, Independent Director Appt</t>
  </si>
  <si>
    <t>Act 1154 §23 (Min 3 Directors)</t>
  </si>
  <si>
    <t>CORP-06</t>
  </si>
  <si>
    <t>Shareholders' Agreement &amp; IP Assignment</t>
  </si>
  <si>
    <t>W5</t>
  </si>
  <si>
    <t>Executed SHA &amp; Technology Transfer Agreement</t>
  </si>
  <si>
    <t>Act 1154 §42 (Shareholding Rules)</t>
  </si>
  <si>
    <t>CORP-07</t>
  </si>
  <si>
    <t>Appointment of ICAG Statutory External Auditor</t>
  </si>
  <si>
    <t>Partner 3 / 2</t>
  </si>
  <si>
    <t>W6</t>
  </si>
  <si>
    <t>Auditor Engagement Letter (ICAG Member)</t>
  </si>
  <si>
    <t>Act 1154 §30-31 (Auditor Duty)</t>
  </si>
  <si>
    <t>CORP-08</t>
  </si>
  <si>
    <t>Corporate Banking Account Setup (Operational)</t>
  </si>
  <si>
    <t>Stanbic/Ecobank GHS &amp; USD Operating Accounts</t>
  </si>
  <si>
    <t>Corporate Banking</t>
  </si>
  <si>
    <t>KYC-101</t>
  </si>
  <si>
    <t>Unit 1 (KYC)</t>
  </si>
  <si>
    <t>Ghana Card Validation &amp; DOB Rules</t>
  </si>
  <si>
    <t>Partner 1</t>
  </si>
  <si>
    <t>validation.ts (regex + age &gt;= 18 check)</t>
  </si>
  <si>
    <t>Act 1154 §33(1), Act 1044</t>
  </si>
  <si>
    <t>KYC-102</t>
  </si>
  <si>
    <t>QoreID &amp; Smile ID Multi-Vendor Client</t>
  </si>
  <si>
    <t>IdVerificationClient (QoreID + Smile ID)</t>
  </si>
  <si>
    <t>Act 1154 §33(1)</t>
  </si>
  <si>
    <t>KYC-103</t>
  </si>
  <si>
    <t>In-House CV Biometrics &amp; OCR Engine</t>
  </si>
  <si>
    <t>src/inhouse/ (face match, OCR, cert)</t>
  </si>
  <si>
    <t>KYC-104</t>
  </si>
  <si>
    <t>GhanaPost GPS Proof of Address Validator</t>
  </si>
  <si>
    <t>src/address/ghanapost.ts</t>
  </si>
  <si>
    <t>BoG Tier 2/3 Guidelines</t>
  </si>
  <si>
    <t>KYC-105</t>
  </si>
  <si>
    <t>PII Masking &amp; Privacy Guard</t>
  </si>
  <si>
    <t>src/utils/masking.ts</t>
  </si>
  <si>
    <t>Data Protection Act 843 §27</t>
  </si>
  <si>
    <t>KYC-106</t>
  </si>
  <si>
    <t>Standalone Web Server &amp; Diagnostic CLI</t>
  </si>
  <si>
    <t>src/server.ts (Port 3333), diagnostics.ts</t>
  </si>
  <si>
    <t>Internal Readiness</t>
  </si>
  <si>
    <t>KYC-107</t>
  </si>
  <si>
    <t>CediRamp Drop-In Integration Adapter</t>
  </si>
  <si>
    <t>src/adapter/cediramp.ts</t>
  </si>
  <si>
    <t>CediRamp Integration</t>
  </si>
  <si>
    <t>KYC-108</t>
  </si>
  <si>
    <t>NIA Direct Enterprise Data Sharing Integration</t>
  </si>
  <si>
    <t>Partner 1 / 3</t>
  </si>
  <si>
    <t>W9</t>
  </si>
  <si>
    <t>W12</t>
  </si>
  <si>
    <t>4 wks</t>
  </si>
  <si>
    <t>Live NiaClient (post-contract)</t>
  </si>
  <si>
    <t>National Identity Register</t>
  </si>
  <si>
    <t>AML-201</t>
  </si>
  <si>
    <t>Unit 2 (AML)</t>
  </si>
  <si>
    <t>OpenSanctions Screening Client</t>
  </si>
  <si>
    <t>Partner 2</t>
  </si>
  <si>
    <t>OpenSanctionsClient (fuzzy /match API)</t>
  </si>
  <si>
    <t>Act 1154 §33(1), UN/OFAC</t>
  </si>
  <si>
    <t>AML-202</t>
  </si>
  <si>
    <t>Sanction vs PEP/Adverse Media Classification</t>
  </si>
  <si>
    <t>Hard block vs EDD review flags</t>
  </si>
  <si>
    <t>Act 1044 EDD Rules</t>
  </si>
  <si>
    <t>AML-203</t>
  </si>
  <si>
    <t>Periodic Batch Re-Screening Worker</t>
  </si>
  <si>
    <t>src/workers/rescreening.ts</t>
  </si>
  <si>
    <t>Ongoing Monitoring</t>
  </si>
  <si>
    <t>AML-204</t>
  </si>
  <si>
    <t>Travel Rule Originator/Beneficiary Engine</t>
  </si>
  <si>
    <t>Partner 2 / 1</t>
  </si>
  <si>
    <t>W8</t>
  </si>
  <si>
    <t>Travel Rule JSON-LD message generator</t>
  </si>
  <si>
    <t>Act 1154 §33(3)-(4)</t>
  </si>
  <si>
    <t>AML-205</t>
  </si>
  <si>
    <t>Travel Rule Network Gateway (Notabene/IVMS)</t>
  </si>
  <si>
    <t>W7</t>
  </si>
  <si>
    <t>W10</t>
  </si>
  <si>
    <t>VASPPromise / IVMS101 protocol bridge</t>
  </si>
  <si>
    <t>FATF Recommendation 16</t>
  </si>
  <si>
    <t>AML-206</t>
  </si>
  <si>
    <t>On-Chain Forensic Wallet Screening</t>
  </si>
  <si>
    <t>Chainalysis / TRM Labs API adapter</t>
  </si>
  <si>
    <t>AML-207</t>
  </si>
  <si>
    <t>FIC goAML STR / CTR 24h Reporting Pipeline</t>
  </si>
  <si>
    <t>W11</t>
  </si>
  <si>
    <t>Automated STR XML generator for goAML</t>
  </si>
  <si>
    <t>Act 1044 §30, Act 1154 §33</t>
  </si>
  <si>
    <t>AML-208</t>
  </si>
  <si>
    <t>BoG Transaction Threshold &amp; Velocity Enforcement</t>
  </si>
  <si>
    <t>GHS 25k limits &amp; velocity alerts</t>
  </si>
  <si>
    <t>BoG Mobile Money Guidelines</t>
  </si>
  <si>
    <t>RAIL-301</t>
  </si>
  <si>
    <t>Unit 3 (Rail)</t>
  </si>
  <si>
    <t>CediRamp Quoting &amp; Order Engine (Base L2)</t>
  </si>
  <si>
    <t>Base Sepolia on/off-ramp quotes &amp; orders</t>
  </si>
  <si>
    <t>Act 1154 Category 4</t>
  </si>
  <si>
    <t>RAIL-302</t>
  </si>
  <si>
    <t>Idempotent Webhooks &amp; Replay Protection</t>
  </si>
  <si>
    <t>HMAC-SHA256 webhooks &amp; Idempotency-Key</t>
  </si>
  <si>
    <t>Security Best Practices</t>
  </si>
  <si>
    <t>RAIL-303</t>
  </si>
  <si>
    <t>Multi-Sig &amp; HSM/MPC Custody Float Setup</t>
  </si>
  <si>
    <t>Safe / Fireblocks multi-sig float wallet</t>
  </si>
  <si>
    <t>Act 1154 §40 (Custody)</t>
  </si>
  <si>
    <t>RAIL-304</t>
  </si>
  <si>
    <t>MTN MoMo Direct Enterprise Production Rail</t>
  </si>
  <si>
    <t>Partner 3 / 1</t>
  </si>
  <si>
    <t>5 wks</t>
  </si>
  <si>
    <t>Live MTN Open API direct billing bridge</t>
  </si>
  <si>
    <t>Payment Systems Act 987</t>
  </si>
  <si>
    <t>RAIL-305</t>
  </si>
  <si>
    <t>Partner Bank Escrow &amp; Ring-Fenced Float Account</t>
  </si>
  <si>
    <t>Bank escrow trust agreement for Cedi float</t>
  </si>
  <si>
    <t>Act 1154 §32 (Solvency)</t>
  </si>
  <si>
    <t>RAIL-306</t>
  </si>
  <si>
    <t>Base Mainnet Deployment &amp; Liquidity Seeding</t>
  </si>
  <si>
    <t>W14</t>
  </si>
  <si>
    <t>Live contract deployment on Base Mainnet</t>
  </si>
  <si>
    <t>Production Launch</t>
  </si>
  <si>
    <t>RAIL-307</t>
  </si>
  <si>
    <t>Automated Liquidity Rebalancing &amp; Hedging</t>
  </si>
  <si>
    <t>W15</t>
  </si>
  <si>
    <t>Cedi/USDC float rebalancing daemon</t>
  </si>
  <si>
    <t>Treasury Ops</t>
  </si>
  <si>
    <t>REG-401</t>
  </si>
  <si>
    <t>Regulatory &amp; BoG</t>
  </si>
  <si>
    <t>Data Protection Commission (DPC) Registration</t>
  </si>
  <si>
    <t>DPC Data Controller Certificate</t>
  </si>
  <si>
    <t>Data Protection Act 843</t>
  </si>
  <si>
    <t>REG-402</t>
  </si>
  <si>
    <t>Designation of MLRO &amp; FIC goAML Portal Reg</t>
  </si>
  <si>
    <t>FIC goAML Account &amp; MLRO Appointment</t>
  </si>
  <si>
    <t>REG-403</t>
  </si>
  <si>
    <t>Cybersecurity Authority (CSA) CII Registration</t>
  </si>
  <si>
    <t>Partner 1 / 2</t>
  </si>
  <si>
    <t>CSA Cybersecurity Accreditation</t>
  </si>
  <si>
    <t>Cybersecurity Act 1038, Act 1154 §36</t>
  </si>
  <si>
    <t>REG-404</t>
  </si>
  <si>
    <t>Board AML/CFT, CDD &amp; Whistleblower Policies</t>
  </si>
  <si>
    <t>Board-Approved AML/CFT Compliance Manual</t>
  </si>
  <si>
    <t>Act 1154 §33-34</t>
  </si>
  <si>
    <t>REG-405</t>
  </si>
  <si>
    <t>Fit-and-Proper Dossiers for All 3 Partners</t>
  </si>
  <si>
    <t>Police Clearance, Net Worth, Credit Checks</t>
  </si>
  <si>
    <t>Act 1154 §24-25 (Fit &amp; Proper)</t>
  </si>
  <si>
    <t>REG-406</t>
  </si>
  <si>
    <t>Bank of Ghana VARO Sandbox Application Dossier</t>
  </si>
  <si>
    <t>Complete 9-Part VASP Application Binder</t>
  </si>
  <si>
    <t>Act 1154 §43-50 (Sandbox)</t>
  </si>
  <si>
    <t>REG-407</t>
  </si>
  <si>
    <t>Independent Cybersecurity Pentest &amp; Audit</t>
  </si>
  <si>
    <t>W13</t>
  </si>
  <si>
    <t>Third-Party Pentest Attestation Report</t>
  </si>
  <si>
    <t>Act 1154 §36 (Cybersecurity)</t>
  </si>
  <si>
    <t>REG-408</t>
  </si>
  <si>
    <t>Professional Indemnity &amp; Custody Insurance</t>
  </si>
  <si>
    <t>Cyber/Crime Insurance Policy Cover</t>
  </si>
  <si>
    <t>Act 1154 §32 (Insurance)</t>
  </si>
  <si>
    <t>REG-409</t>
  </si>
  <si>
    <t>NIA Enterprise Contract &amp; NIR Access Grant</t>
  </si>
  <si>
    <t>Executed NIA Data Access Agreement</t>
  </si>
  <si>
    <t>NIR Identity Verification</t>
  </si>
  <si>
    <t>REG-410</t>
  </si>
  <si>
    <t>BoG Sandbox Supervisory Demo &amp; Defense</t>
  </si>
  <si>
    <t>Interactive VARO Technical Walkthrough</t>
  </si>
  <si>
    <t>Act 1154 §45 (Sandbox Grant)</t>
  </si>
  <si>
    <t>TRUSTRAIL 16-WEEK GANTT TIMELINE VISUALIZER</t>
  </si>
  <si>
    <t>Blue = Partner 1 (Tech) | Green = Partner 2 (Compliance) | Orange = Partner 3 (Ops/Banking) | Purple = All Partners</t>
  </si>
  <si>
    <t>Task Description</t>
  </si>
  <si>
    <t>Lead</t>
  </si>
  <si>
    <t>W16</t>
  </si>
  <si>
    <t>MILESTONE GATE CHECKPOINTS</t>
  </si>
  <si>
    <t>★</t>
  </si>
  <si>
    <t>PARTNER RACI MATRIX &amp; GOVERNANCE ALLOCATION</t>
  </si>
  <si>
    <t>R = Responsible (Executes) | A = Accountable (Approves) | C = Consulted | I = Informed</t>
  </si>
  <si>
    <t>Operational / Regulatory Domain</t>
  </si>
  <si>
    <t>Partner 1 (Tech)</t>
  </si>
  <si>
    <t>Partner 2 (Compliance)</t>
  </si>
  <si>
    <t>Partner 3 (Ops/Banking)</t>
  </si>
  <si>
    <t>Key Governance Notes</t>
  </si>
  <si>
    <t>Company Incorporation (ORC) &amp; Board Setup</t>
  </si>
  <si>
    <t>C</t>
  </si>
  <si>
    <t>R / A</t>
  </si>
  <si>
    <t>P3 executes Registrar of Companies filings &amp; lease</t>
  </si>
  <si>
    <t>Shareholders' Agreement (SHA) &amp; Equity Vesting</t>
  </si>
  <si>
    <t>Unanimous approval required across all 3 partners</t>
  </si>
  <si>
    <t>TrustRail-KYC Engine &amp; Architecture</t>
  </si>
  <si>
    <t>I</t>
  </si>
  <si>
    <t>P1 leads codebase; P2 verifies Act 1044 alignment</t>
  </si>
  <si>
    <t>Biometric &amp; Document OCR Integrity</t>
  </si>
  <si>
    <t>P1 maintains algorithm benchmarks; P2 audits accuracy</t>
  </si>
  <si>
    <t>OpenSanctions &amp; Watchlist Configuration</t>
  </si>
  <si>
    <t>P2 sets fuzzy match threshold; P1 maintains worker uptime</t>
  </si>
  <si>
    <t>Travel Rule Protocol &amp; Integration</t>
  </si>
  <si>
    <t>R</t>
  </si>
  <si>
    <t>P2 defines IVMS101 schema; P1 connects network SDK</t>
  </si>
  <si>
    <t>goAML &amp; FIC Suspicious Reporting</t>
  </si>
  <si>
    <t>P2 acts as designated MLRO / AML Officer with FIC</t>
  </si>
  <si>
    <t>Bank of Ghana VARO Sandbox Engagement</t>
  </si>
  <si>
    <t>P3 manages primary regulatory liaison with BoG officials</t>
  </si>
  <si>
    <t>Partner Bank Escrow &amp; Float Structuring</t>
  </si>
  <si>
    <t>P3 executes trust agreements with banking partners</t>
  </si>
  <si>
    <t>MTN MoMo Enterprise Direct Agreement</t>
  </si>
  <si>
    <t>P3 drives telco negotiations; P1 integrates APIs</t>
  </si>
  <si>
    <t>Data Protection (Act 843) Audit &amp; Filing</t>
  </si>
  <si>
    <t>P2 manages Data Protection Commission registration</t>
  </si>
  <si>
    <t>Cybersecurity (CSA) &amp; Pentest Audit</t>
  </si>
  <si>
    <t>P1 coordinates third-party security auditors</t>
  </si>
  <si>
    <t>B2B Fintech &amp; Crypto Client Onboarding</t>
  </si>
  <si>
    <t>P3 leads sales; P1 &amp; P2 provide tech/compliance support</t>
  </si>
  <si>
    <t>ESTIMATED WEEKLY TIME ALLOCATION (HOURS / WEEK)</t>
  </si>
  <si>
    <t>Phase / Execution Window</t>
  </si>
  <si>
    <t>Combined Team Effort</t>
  </si>
  <si>
    <t>Phase 1: Weeks 1 - 4 (Corporate &amp; KYC Build)</t>
  </si>
  <si>
    <t>Phase 2: Weeks 5 - 8 (AML, Travel Rule &amp; Bank Escrow)</t>
  </si>
  <si>
    <t>Phase 3: Weeks 9 - 12 (BoG Filing &amp; Rail Hardening)</t>
  </si>
  <si>
    <t>Phase 4: Weeks 13 - 16 (Live Sandbox &amp; Launch)</t>
  </si>
  <si>
    <t>TRUSTRAIL PROGRAM BUDGET &amp; COST ESTIMATES</t>
  </si>
  <si>
    <t>Includes Corporate Registration, Regulatory Licensing, Technology Stack, Legal &amp; Audits (FX @ 15.5 GHS/USD)</t>
  </si>
  <si>
    <t>Category</t>
  </si>
  <si>
    <t>Item / Provider</t>
  </si>
  <si>
    <t>Operational Purpose</t>
  </si>
  <si>
    <t>Pricing Structure</t>
  </si>
  <si>
    <t>Setup / Filing ($)</t>
  </si>
  <si>
    <t>Monthly Cost ($)</t>
  </si>
  <si>
    <t>Monthly Cost (GHS)</t>
  </si>
  <si>
    <t>Corporate Formation</t>
  </si>
  <si>
    <t>ORC Registration &amp; Stamp Duty</t>
  </si>
  <si>
    <t>Company Incorporation &amp; Stated Capital</t>
  </si>
  <si>
    <t>One-Time Statutory Filing</t>
  </si>
  <si>
    <t>Physical Office &amp; Operating Permit</t>
  </si>
  <si>
    <t>Accra Office Lease &amp; MMDA Permit</t>
  </si>
  <si>
    <t>Annual Lease + Permit</t>
  </si>
  <si>
    <t>Corporate Legal</t>
  </si>
  <si>
    <t>External Legal Counsel</t>
  </si>
  <si>
    <t>SHA, Governance &amp; Regulatory Advice</t>
  </si>
  <si>
    <t>Fixed Legal Retainer</t>
  </si>
  <si>
    <t>Statutory Audit</t>
  </si>
  <si>
    <t>ICAG External Audit Firm</t>
  </si>
  <si>
    <t>Statutory Annual Financial &amp; AML Audit</t>
  </si>
  <si>
    <t>Annual Engagement Fee</t>
  </si>
  <si>
    <t>Regulatory Filing</t>
  </si>
  <si>
    <t>Bank of Ghana (VARO)</t>
  </si>
  <si>
    <t>VASP Sandbox Application Fee</t>
  </si>
  <si>
    <t>Official Regulatory Filing</t>
  </si>
  <si>
    <t>Data Protection</t>
  </si>
  <si>
    <t>Data Protection Commission (DPC)</t>
  </si>
  <si>
    <t>Data Controller Certification (Act 843)</t>
  </si>
  <si>
    <t>Annual Registration</t>
  </si>
  <si>
    <t>Cybersecurity</t>
  </si>
  <si>
    <t>Cybersecurity Authority (CSA)</t>
  </si>
  <si>
    <t>CII Registration &amp; CSP Accreditation</t>
  </si>
  <si>
    <t>Annual Regulatory Fee</t>
  </si>
  <si>
    <t>Insurance</t>
  </si>
  <si>
    <t>Underwriters / Broker</t>
  </si>
  <si>
    <t>Cyber Liability &amp; Custody Insurance</t>
  </si>
  <si>
    <t>Annual Insurance Policy</t>
  </si>
  <si>
    <t>Identity Verification</t>
  </si>
  <si>
    <t>QoreID</t>
  </si>
  <si>
    <t>Ghana Card Registry Verification</t>
  </si>
  <si>
    <t>Per Lookup (~$0.15/check)</t>
  </si>
  <si>
    <t>Smile ID</t>
  </si>
  <si>
    <t>Biometric 1:1 Face Match &amp; Liveness</t>
  </si>
  <si>
    <t>Per Job (~$0.25/check)</t>
  </si>
  <si>
    <t>NIA Direct Enterprise</t>
  </si>
  <si>
    <t>National Identity Register Official API</t>
  </si>
  <si>
    <t>Annual Enterprise Contract</t>
  </si>
  <si>
    <t>AML &amp; Watchlists</t>
  </si>
  <si>
    <t>OpenSanctions</t>
  </si>
  <si>
    <t>PEP, Sanctions &amp; Adverse Media Data</t>
  </si>
  <si>
    <t>API Subscription (Standard)</t>
  </si>
  <si>
    <t>On-Chain Forensics</t>
  </si>
  <si>
    <t>Chainalysis / TRM Labs</t>
  </si>
  <si>
    <t>Wallet Screening &amp; Risk Forensics</t>
  </si>
  <si>
    <t>Fintech Tier API License</t>
  </si>
  <si>
    <t>Travel Rule Network</t>
  </si>
  <si>
    <t>Notabene / Sygna</t>
  </si>
  <si>
    <t>IVMS101 Cross-VASP Messaging</t>
  </si>
  <si>
    <t>Network SaaS Tier</t>
  </si>
  <si>
    <t>Cloud Infrastructure</t>
  </si>
  <si>
    <t>AWS / DigitalOcean</t>
  </si>
  <si>
    <t>API Servers, Postgres DB, Workers</t>
  </si>
  <si>
    <t>Cloud Compute &amp; Bandwidth</t>
  </si>
  <si>
    <t>Security &amp; Pentesting</t>
  </si>
  <si>
    <t>Third-Party Auditor</t>
  </si>
  <si>
    <t>Cybersecurity &amp; Smart Contract Audit</t>
  </si>
  <si>
    <t>Pre-Launch Security Audit</t>
  </si>
  <si>
    <t>TOTAL PROGRAM BUDGET</t>
  </si>
  <si>
    <t>BANK OF GHANA VASP SANDBOX SUBMISSION CHECKLIST</t>
  </si>
  <si>
    <t>Statutory Document Dossier Required for Sandbox Approval under Act 1154</t>
  </si>
  <si>
    <t>Item ID</t>
  </si>
  <si>
    <t>Application Artifact / Document</t>
  </si>
  <si>
    <t>Act 1154 Section</t>
  </si>
  <si>
    <t>Owner</t>
  </si>
  <si>
    <t>Content Summary &amp; Readiness</t>
  </si>
  <si>
    <t>DOC-01</t>
  </si>
  <si>
    <t>VASP Executive Brief &amp; Business Model</t>
  </si>
  <si>
    <t>Act 1154 §15, §44</t>
  </si>
  <si>
    <t>READY</t>
  </si>
  <si>
    <t>TrustRail 3-Unit compliance layer architecture &amp; financial model</t>
  </si>
  <si>
    <t>DOC-02</t>
  </si>
  <si>
    <t>Fit &amp; Proper Questionnaires (Directors/Officers)</t>
  </si>
  <si>
    <t>Act 1154 §24-25</t>
  </si>
  <si>
    <t>Background checks, resumes, police clearances for all 3 partners</t>
  </si>
  <si>
    <t>DOC-03</t>
  </si>
  <si>
    <t>AML/CFT Compliance &amp; Operational Manual</t>
  </si>
  <si>
    <t>Act 1154 §33, Act 1044</t>
  </si>
  <si>
    <t>Full CDD, EDD, STR/CTR 24h reporting and watchlist escalation protocols</t>
  </si>
  <si>
    <t>DOC-04</t>
  </si>
  <si>
    <t>Technical Architecture &amp; Security Dossier</t>
  </si>
  <si>
    <t>Act 1154 §16, §36</t>
  </si>
  <si>
    <t>API specifications, HSM/MPC custody design, Base L2 settlement, uptime SLAs</t>
  </si>
  <si>
    <t>DOC-05</t>
  </si>
  <si>
    <t>Customer Asset Segregation &amp; Solvency Policy</t>
  </si>
  <si>
    <t>Act 1154 §32, §40</t>
  </si>
  <si>
    <t>Ring-fenced bank escrow structure + segregated on-chain custody ledgers</t>
  </si>
  <si>
    <t>DOC-06</t>
  </si>
  <si>
    <t>Data Protection &amp; Privacy Policy</t>
  </si>
  <si>
    <t>Act 1154 §27, Act 843</t>
  </si>
  <si>
    <t>PII masking controls, encryption at rest/transit, DPC certificate filing</t>
  </si>
  <si>
    <t>DOC-07</t>
  </si>
  <si>
    <t>Consumer Protection &amp; Whistleblower Policy</t>
  </si>
  <si>
    <t>Act 1154 §34</t>
  </si>
  <si>
    <t>Anonymous grievance channel and consumer dispute resolution procedures</t>
  </si>
  <si>
    <t>DOC-08</t>
  </si>
  <si>
    <t>Disaster Recovery &amp; Business Continuity Plan</t>
  </si>
  <si>
    <t>Act 1154 §35</t>
  </si>
  <si>
    <t>Multi-region failover, key backup recovery, and transaction rollback rules</t>
  </si>
  <si>
    <t>DOC-09</t>
  </si>
  <si>
    <t>Sandbox Testing Scope &amp; Risk Mitigation Plan</t>
  </si>
  <si>
    <t>Act 1154 §43-50</t>
  </si>
  <si>
    <t>Participant volume caps, 6-month trial metrics, and graduation criteria</t>
  </si>
  <si>
    <t>GHANA CORPORATE &amp; REGULATORY STEP-BY-STEP SETUP GUIDE</t>
  </si>
  <si>
    <t>Detailed Blueprint for Company Formation, Statutory Tax/Pension, Data Protection &amp; VASP Licensing</t>
  </si>
  <si>
    <t>Step #</t>
  </si>
  <si>
    <t>Government Body / Agency</t>
  </si>
  <si>
    <t>Statutory Requirement</t>
  </si>
  <si>
    <t>Procedure &amp; Practical Guidance</t>
  </si>
  <si>
    <t>STEP 1: Incorporation</t>
  </si>
  <si>
    <t>Office of Registrar of Companies (ORC)</t>
  </si>
  <si>
    <t>Company Limited by Shares (Act 992)</t>
  </si>
  <si>
    <t>File Form 3 with ORC. Object clauses MUST explicitly state 'Virtual Asset Infrastructure, Payment Systems, KYC/AML Compliance Services'. Minimum 3 directors (at least 1 independent, 1 resident in Ghana per Act 1154 §23). Qualified Company Secretary required.</t>
  </si>
  <si>
    <t>Weeks 1 - 2</t>
  </si>
  <si>
    <t>STEP 2: Tax &amp; TIN</t>
  </si>
  <si>
    <t>Ghana Revenue Authority (GRA)</t>
  </si>
  <si>
    <t>Corporate TIN &amp; Tax Registration</t>
  </si>
  <si>
    <t>Register for corporate TIN upon incorporation. Setup GRA online portal for VAT, Withholding Tax (WHT) and corporate income tax. Obtain initial Tax Clearance Certificate (TCC).</t>
  </si>
  <si>
    <t>Weeks 2 - 3</t>
  </si>
  <si>
    <t>STEP 3: Pensions</t>
  </si>
  <si>
    <t>Social Security &amp; National Ins. (SSNIT)</t>
  </si>
  <si>
    <t>SSNIT Employer Registration</t>
  </si>
  <si>
    <t>Register company with SSNIT and obtain SSNIT Employer Number and Certificate. Mandatory document required for NIA direct API onboarding and BoG licensing.</t>
  </si>
  <si>
    <t>STEP 4: Physical Office</t>
  </si>
  <si>
    <t>Local MMDA (e.g. AMA)</t>
  </si>
  <si>
    <t>Registered Physical Office &amp; Operating Permit</t>
  </si>
  <si>
    <t>Secure physical commercial office address in Accra (mandatory under Act 1154 §21). Obtain Business Operating Permit (BOP) from Municipal/Metropolitan Assembly.</t>
  </si>
  <si>
    <t>Weeks 2 - 4</t>
  </si>
  <si>
    <t>STEP 5: Data Protection</t>
  </si>
  <si>
    <t>Register company as Data Controller &amp; Data Processor with DPC. Appoint/certify Data Protection Officer (DPO). File privacy policies and biometric data impact assessment.</t>
  </si>
  <si>
    <t>Weeks 3 - 6</t>
  </si>
  <si>
    <t>STEP 6: AML &amp; FIC Reg</t>
  </si>
  <si>
    <t>Financial Intelligence Centre (FIC)</t>
  </si>
  <si>
    <t>goAML Registration &amp; MLRO Appointment</t>
  </si>
  <si>
    <t>Formally notify FIC of designated Money Laundering Reporting Officer (MLRO). Create Organization Account on goAML portal (reporting.fic.gov.gh) for 24h STR filing.</t>
  </si>
  <si>
    <t>Weeks 4 - 7</t>
  </si>
  <si>
    <t>STEP 7: Banking &amp; Float</t>
  </si>
  <si>
    <t>Tier-1 Partner Bank (Stanbic/Ecobank)</t>
  </si>
  <si>
    <t>Ring-Fenced Client Float Trust Account</t>
  </si>
  <si>
    <t>Open operational bank accounts. Execute formal Escrow / Trust Agreement for ring-fenced customer cedi float (Act 1154 §32). Customer funds must never sit on balance sheet.</t>
  </si>
  <si>
    <t>Weeks 5 - 9</t>
  </si>
  <si>
    <t>STEP 8: NIA Enterprise</t>
  </si>
  <si>
    <t>National Identification Authority (NIA)</t>
  </si>
  <si>
    <t>NIR Direct Verification Access</t>
  </si>
  <si>
    <t>Submit formal onboarding request to idverification@nia.gov.gh attaching Certificate of Incorporation, SSNIT, DPC certificate, and technical architecture dossier.</t>
  </si>
  <si>
    <t>Weeks 8 - 11</t>
  </si>
  <si>
    <t>STEP 9: BoG Sandbox</t>
  </si>
  <si>
    <t>Bank of Ghana (VARO / VAD)</t>
  </si>
  <si>
    <t>VASP Regulatory Sandbox Grant (Act 1154 §43-50)</t>
  </si>
  <si>
    <t>Submit 9-part statutory application binder to VARO. Pay application fee. Conduct supervisory demonstration of TrustRail-KYC, TrustRail-AML, and CediRamp on Base.</t>
  </si>
  <si>
    <t>Weeks 8 - 14</t>
  </si>
  <si>
    <t>STEP 10: Full Licence</t>
  </si>
  <si>
    <t>Full VASP Operating Licence (Act 1154 §14-20)</t>
  </si>
  <si>
    <t>Complete 6-12 month sandbox testing cycle meeting volume and risk thresholds. Transition to full VASP Category 1, 3, and 4 Operating Licences.</t>
  </si>
  <si>
    <t>Month 6 - 12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</si>
</sst>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"/>
    <numFmt numFmtId="166" formatCode="GH₵#,##0"/>
  </numFmts>
  <fonts count="1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9"/>
      <color rgb="FF94A3B8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F172A"/>
      <name val="Calibri"/>
      <family val="2"/>
      <scheme val="minor"/>
    </font>
    <font>
      <sz val="9"/>
      <color rgb="FF1E293B"/>
      <name val="Calibri"/>
      <family val="2"/>
      <scheme val="minor"/>
    </font>
    <font>
      <b/>
      <sz val="8"/>
      <color rgb="FF065F46"/>
      <name val="Calibri"/>
      <family val="2"/>
      <scheme val="minor"/>
    </font>
    <font>
      <b/>
      <sz val="8"/>
      <color rgb="FF1E40AF"/>
      <name val="Calibri"/>
      <family val="2"/>
      <scheme val="minor"/>
    </font>
    <font>
      <b/>
      <sz val="8"/>
      <color rgb="FF92400E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7C3AED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0" fillId="8" borderId="7" xfId="0" applyFill="1" applyBorder="1"/>
    <xf numFmtId="0" fontId="0" fillId="9" borderId="3" xfId="0" applyFill="1" applyBorder="1"/>
    <xf numFmtId="0" fontId="0" fillId="10" borderId="8" xfId="0" applyFill="1" applyBorder="1"/>
    <xf numFmtId="0" fontId="0" fillId="11" borderId="9" xfId="0" applyFill="1" applyBorder="1"/>
    <xf numFmtId="0" fontId="0" fillId="12" borderId="10" xfId="0" applyFill="1" applyBorder="1"/>
    <xf numFmtId="0" fontId="10" fillId="13" borderId="11" xfId="0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F172A"/>
  </sheetPr>
  <dimension ref="B2:F24"/>
  <sheetViews>
    <sheetView tabSelected="1" workbookViewId="0"/>
  </sheetViews>
  <sheetFormatPr defaultRowHeight="15"/>
  <cols>
    <col min="1" max="1" width="4.7109375" customWidth="1"/>
    <col min="2" max="2" width="24.7109375" customWidth="1"/>
    <col min="3" max="3" width="38.7109375" customWidth="1"/>
    <col min="4" max="4" width="24.7109375" customWidth="1"/>
    <col min="5" max="5" width="30.7109375" customWidth="1"/>
    <col min="6" max="6" width="20.7109375" customWidth="1"/>
  </cols>
  <sheetData>
    <row r="2" spans="2:6">
      <c r="B2" s="1" t="s">
        <v>0</v>
      </c>
      <c r="C2" s="1"/>
      <c r="D2" s="1"/>
      <c r="E2" s="1"/>
      <c r="F2" s="1"/>
    </row>
    <row r="3" spans="2:6">
      <c r="B3" s="2" t="s">
        <v>1</v>
      </c>
      <c r="C3" s="2"/>
      <c r="D3" s="2"/>
      <c r="E3" s="2"/>
      <c r="F3" s="2"/>
    </row>
    <row r="5" spans="2:6">
      <c r="B5" s="3" t="s">
        <v>2</v>
      </c>
      <c r="C5" s="3"/>
      <c r="D5" s="3"/>
      <c r="E5" s="3"/>
      <c r="F5" s="3"/>
    </row>
    <row r="6" spans="2:6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spans="2:6">
      <c r="B7" s="5" t="s">
        <v>8</v>
      </c>
      <c r="C7" s="6" t="s">
        <v>9</v>
      </c>
      <c r="D7" s="6" t="s">
        <v>10</v>
      </c>
      <c r="E7" s="6" t="s">
        <v>11</v>
      </c>
      <c r="F7" s="7" t="s">
        <v>12</v>
      </c>
    </row>
    <row r="8" spans="2:6">
      <c r="B8" s="5" t="s">
        <v>13</v>
      </c>
      <c r="C8" s="6" t="s">
        <v>14</v>
      </c>
      <c r="D8" s="6" t="s">
        <v>15</v>
      </c>
      <c r="E8" s="6" t="s">
        <v>16</v>
      </c>
      <c r="F8" s="7" t="s">
        <v>17</v>
      </c>
    </row>
    <row r="9" spans="2:6">
      <c r="B9" s="5" t="s">
        <v>18</v>
      </c>
      <c r="C9" s="6" t="s">
        <v>19</v>
      </c>
      <c r="D9" s="6" t="s">
        <v>20</v>
      </c>
      <c r="E9" s="6" t="s">
        <v>21</v>
      </c>
      <c r="F9" s="7" t="s">
        <v>22</v>
      </c>
    </row>
    <row r="12" spans="2:6">
      <c r="B12" s="3" t="s">
        <v>23</v>
      </c>
      <c r="C12" s="3"/>
      <c r="D12" s="3"/>
      <c r="E12" s="3"/>
      <c r="F12" s="3"/>
    </row>
    <row r="13" spans="2:6"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</row>
    <row r="14" spans="2:6">
      <c r="B14" s="5" t="s">
        <v>29</v>
      </c>
      <c r="C14" s="6" t="s">
        <v>30</v>
      </c>
      <c r="D14" s="6" t="s">
        <v>31</v>
      </c>
      <c r="E14" s="6" t="s">
        <v>32</v>
      </c>
      <c r="F14" s="7" t="s">
        <v>33</v>
      </c>
    </row>
    <row r="15" spans="2:6">
      <c r="B15" s="5" t="s">
        <v>34</v>
      </c>
      <c r="C15" s="6" t="s">
        <v>35</v>
      </c>
      <c r="D15" s="6" t="s">
        <v>36</v>
      </c>
      <c r="E15" s="6" t="s">
        <v>37</v>
      </c>
      <c r="F15" s="7" t="s">
        <v>33</v>
      </c>
    </row>
    <row r="16" spans="2:6">
      <c r="B16" s="5" t="s">
        <v>38</v>
      </c>
      <c r="C16" s="6" t="s">
        <v>39</v>
      </c>
      <c r="D16" s="6" t="s">
        <v>40</v>
      </c>
      <c r="E16" s="6" t="s">
        <v>41</v>
      </c>
      <c r="F16" s="7" t="s">
        <v>33</v>
      </c>
    </row>
    <row r="19" spans="2:6">
      <c r="B19" s="3" t="s">
        <v>42</v>
      </c>
      <c r="C19" s="3"/>
      <c r="D19" s="3"/>
      <c r="E19" s="3"/>
      <c r="F19" s="3"/>
    </row>
    <row r="20" spans="2:6"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</row>
    <row r="21" spans="2:6">
      <c r="B21" s="5" t="s">
        <v>48</v>
      </c>
      <c r="C21" s="7" t="s">
        <v>49</v>
      </c>
      <c r="D21" s="6" t="s">
        <v>50</v>
      </c>
      <c r="E21" s="6" t="s">
        <v>51</v>
      </c>
      <c r="F21" s="8" t="s">
        <v>52</v>
      </c>
    </row>
    <row r="22" spans="2:6">
      <c r="B22" s="5" t="s">
        <v>53</v>
      </c>
      <c r="C22" s="7" t="s">
        <v>54</v>
      </c>
      <c r="D22" s="6" t="s">
        <v>55</v>
      </c>
      <c r="E22" s="6" t="s">
        <v>56</v>
      </c>
      <c r="F22" s="9" t="s">
        <v>57</v>
      </c>
    </row>
    <row r="23" spans="2:6">
      <c r="B23" s="5" t="s">
        <v>58</v>
      </c>
      <c r="C23" s="7" t="s">
        <v>59</v>
      </c>
      <c r="D23" s="6" t="s">
        <v>60</v>
      </c>
      <c r="E23" s="6" t="s">
        <v>61</v>
      </c>
      <c r="F23" s="10" t="s">
        <v>62</v>
      </c>
    </row>
    <row r="24" spans="2:6">
      <c r="B24" s="5" t="s">
        <v>63</v>
      </c>
      <c r="C24" s="7" t="s">
        <v>64</v>
      </c>
      <c r="D24" s="6" t="s">
        <v>65</v>
      </c>
      <c r="E24" s="6" t="s">
        <v>66</v>
      </c>
      <c r="F24" s="10" t="s">
        <v>62</v>
      </c>
    </row>
  </sheetData>
  <mergeCells count="5">
    <mergeCell ref="B2:F2"/>
    <mergeCell ref="B3:F3"/>
    <mergeCell ref="B5:F5"/>
    <mergeCell ref="B12:F12"/>
    <mergeCell ref="B19:F19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</sheetPr>
  <dimension ref="B2:K46"/>
  <sheetViews>
    <sheetView workbookViewId="0"/>
  </sheetViews>
  <sheetFormatPr defaultRowHeight="15"/>
  <cols>
    <col min="1" max="1" width="4.7109375" customWidth="1"/>
    <col min="2" max="2" width="12.7109375" customWidth="1"/>
    <col min="3" max="3" width="20.7109375" customWidth="1"/>
    <col min="4" max="4" width="36.7109375" customWidth="1"/>
    <col min="5" max="5" width="14.7109375" customWidth="1"/>
    <col min="6" max="8" width="10.7109375" customWidth="1"/>
    <col min="9" max="9" width="14.7109375" customWidth="1"/>
    <col min="10" max="10" width="32.7109375" customWidth="1"/>
    <col min="11" max="11" width="28.7109375" customWidth="1"/>
  </cols>
  <sheetData>
    <row r="2" spans="2:11">
      <c r="B2" s="1" t="s">
        <v>67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B3" s="2" t="s">
        <v>68</v>
      </c>
      <c r="C3" s="2"/>
      <c r="D3" s="2"/>
      <c r="E3" s="2"/>
      <c r="F3" s="2"/>
      <c r="G3" s="2"/>
      <c r="H3" s="2"/>
      <c r="I3" s="2"/>
      <c r="J3" s="2"/>
      <c r="K3" s="2"/>
    </row>
    <row r="5" spans="2:11">
      <c r="B5" s="4" t="s">
        <v>69</v>
      </c>
      <c r="C5" s="4" t="s">
        <v>70</v>
      </c>
      <c r="D5" s="4" t="s">
        <v>71</v>
      </c>
      <c r="E5" s="4" t="s">
        <v>7</v>
      </c>
      <c r="F5" s="4" t="s">
        <v>72</v>
      </c>
      <c r="G5" s="4" t="s">
        <v>73</v>
      </c>
      <c r="H5" s="4" t="s">
        <v>74</v>
      </c>
      <c r="I5" s="4" t="s">
        <v>47</v>
      </c>
      <c r="J5" s="4" t="s">
        <v>75</v>
      </c>
      <c r="K5" s="4" t="s">
        <v>76</v>
      </c>
    </row>
    <row r="6" spans="2:11">
      <c r="B6" s="5" t="s">
        <v>77</v>
      </c>
      <c r="C6" s="5" t="s">
        <v>78</v>
      </c>
      <c r="D6" s="6" t="s">
        <v>79</v>
      </c>
      <c r="E6" s="7" t="s">
        <v>80</v>
      </c>
      <c r="F6" s="7" t="s">
        <v>81</v>
      </c>
      <c r="G6" s="7" t="s">
        <v>82</v>
      </c>
      <c r="H6" s="7" t="s">
        <v>83</v>
      </c>
      <c r="I6" s="8" t="s">
        <v>84</v>
      </c>
      <c r="J6" s="6" t="s">
        <v>85</v>
      </c>
      <c r="K6" s="6" t="s">
        <v>86</v>
      </c>
    </row>
    <row r="7" spans="2:11">
      <c r="B7" s="5" t="s">
        <v>87</v>
      </c>
      <c r="C7" s="5" t="s">
        <v>78</v>
      </c>
      <c r="D7" s="6" t="s">
        <v>88</v>
      </c>
      <c r="E7" s="7" t="s">
        <v>80</v>
      </c>
      <c r="F7" s="7" t="s">
        <v>82</v>
      </c>
      <c r="G7" s="7" t="s">
        <v>89</v>
      </c>
      <c r="H7" s="7" t="s">
        <v>83</v>
      </c>
      <c r="I7" s="8" t="s">
        <v>84</v>
      </c>
      <c r="J7" s="6" t="s">
        <v>90</v>
      </c>
      <c r="K7" s="6" t="s">
        <v>91</v>
      </c>
    </row>
    <row r="8" spans="2:11">
      <c r="B8" s="5" t="s">
        <v>92</v>
      </c>
      <c r="C8" s="5" t="s">
        <v>78</v>
      </c>
      <c r="D8" s="6" t="s">
        <v>93</v>
      </c>
      <c r="E8" s="7" t="s">
        <v>80</v>
      </c>
      <c r="F8" s="7" t="s">
        <v>82</v>
      </c>
      <c r="G8" s="7" t="s">
        <v>89</v>
      </c>
      <c r="H8" s="7" t="s">
        <v>83</v>
      </c>
      <c r="I8" s="8" t="s">
        <v>84</v>
      </c>
      <c r="J8" s="6" t="s">
        <v>94</v>
      </c>
      <c r="K8" s="6" t="s">
        <v>95</v>
      </c>
    </row>
    <row r="9" spans="2:11">
      <c r="B9" s="5" t="s">
        <v>96</v>
      </c>
      <c r="C9" s="5" t="s">
        <v>78</v>
      </c>
      <c r="D9" s="6" t="s">
        <v>97</v>
      </c>
      <c r="E9" s="7" t="s">
        <v>80</v>
      </c>
      <c r="F9" s="7" t="s">
        <v>82</v>
      </c>
      <c r="G9" s="7" t="s">
        <v>98</v>
      </c>
      <c r="H9" s="7" t="s">
        <v>99</v>
      </c>
      <c r="I9" s="8" t="s">
        <v>84</v>
      </c>
      <c r="J9" s="6" t="s">
        <v>100</v>
      </c>
      <c r="K9" s="6" t="s">
        <v>101</v>
      </c>
    </row>
    <row r="10" spans="2:11">
      <c r="B10" s="5" t="s">
        <v>102</v>
      </c>
      <c r="C10" s="5" t="s">
        <v>78</v>
      </c>
      <c r="D10" s="6" t="s">
        <v>103</v>
      </c>
      <c r="E10" s="7" t="s">
        <v>104</v>
      </c>
      <c r="F10" s="7" t="s">
        <v>82</v>
      </c>
      <c r="G10" s="7" t="s">
        <v>89</v>
      </c>
      <c r="H10" s="7" t="s">
        <v>83</v>
      </c>
      <c r="I10" s="8" t="s">
        <v>84</v>
      </c>
      <c r="J10" s="6" t="s">
        <v>105</v>
      </c>
      <c r="K10" s="6" t="s">
        <v>106</v>
      </c>
    </row>
    <row r="11" spans="2:11">
      <c r="B11" s="5" t="s">
        <v>107</v>
      </c>
      <c r="C11" s="5" t="s">
        <v>78</v>
      </c>
      <c r="D11" s="6" t="s">
        <v>108</v>
      </c>
      <c r="E11" s="7" t="s">
        <v>104</v>
      </c>
      <c r="F11" s="7" t="s">
        <v>89</v>
      </c>
      <c r="G11" s="7" t="s">
        <v>109</v>
      </c>
      <c r="H11" s="7" t="s">
        <v>99</v>
      </c>
      <c r="I11" s="9" t="s">
        <v>57</v>
      </c>
      <c r="J11" s="6" t="s">
        <v>110</v>
      </c>
      <c r="K11" s="6" t="s">
        <v>111</v>
      </c>
    </row>
    <row r="12" spans="2:11">
      <c r="B12" s="5" t="s">
        <v>112</v>
      </c>
      <c r="C12" s="5" t="s">
        <v>78</v>
      </c>
      <c r="D12" s="6" t="s">
        <v>113</v>
      </c>
      <c r="E12" s="7" t="s">
        <v>114</v>
      </c>
      <c r="F12" s="7" t="s">
        <v>98</v>
      </c>
      <c r="G12" s="7" t="s">
        <v>115</v>
      </c>
      <c r="H12" s="7" t="s">
        <v>99</v>
      </c>
      <c r="I12" s="9" t="s">
        <v>57</v>
      </c>
      <c r="J12" s="6" t="s">
        <v>116</v>
      </c>
      <c r="K12" s="6" t="s">
        <v>117</v>
      </c>
    </row>
    <row r="13" spans="2:11">
      <c r="B13" s="5" t="s">
        <v>118</v>
      </c>
      <c r="C13" s="5" t="s">
        <v>78</v>
      </c>
      <c r="D13" s="6" t="s">
        <v>119</v>
      </c>
      <c r="E13" s="7" t="s">
        <v>80</v>
      </c>
      <c r="F13" s="7" t="s">
        <v>89</v>
      </c>
      <c r="G13" s="7" t="s">
        <v>109</v>
      </c>
      <c r="H13" s="7" t="s">
        <v>99</v>
      </c>
      <c r="I13" s="9" t="s">
        <v>57</v>
      </c>
      <c r="J13" s="6" t="s">
        <v>120</v>
      </c>
      <c r="K13" s="6" t="s">
        <v>121</v>
      </c>
    </row>
    <row r="14" spans="2:11">
      <c r="B14" s="5" t="s">
        <v>122</v>
      </c>
      <c r="C14" s="5" t="s">
        <v>123</v>
      </c>
      <c r="D14" s="6" t="s">
        <v>124</v>
      </c>
      <c r="E14" s="7" t="s">
        <v>125</v>
      </c>
      <c r="F14" s="7" t="s">
        <v>81</v>
      </c>
      <c r="G14" s="7" t="s">
        <v>82</v>
      </c>
      <c r="H14" s="7" t="s">
        <v>83</v>
      </c>
      <c r="I14" s="8" t="s">
        <v>84</v>
      </c>
      <c r="J14" s="6" t="s">
        <v>126</v>
      </c>
      <c r="K14" s="6" t="s">
        <v>127</v>
      </c>
    </row>
    <row r="15" spans="2:11">
      <c r="B15" s="5" t="s">
        <v>128</v>
      </c>
      <c r="C15" s="5" t="s">
        <v>123</v>
      </c>
      <c r="D15" s="6" t="s">
        <v>129</v>
      </c>
      <c r="E15" s="7" t="s">
        <v>125</v>
      </c>
      <c r="F15" s="7" t="s">
        <v>81</v>
      </c>
      <c r="G15" s="7" t="s">
        <v>89</v>
      </c>
      <c r="H15" s="7" t="s">
        <v>99</v>
      </c>
      <c r="I15" s="8" t="s">
        <v>84</v>
      </c>
      <c r="J15" s="6" t="s">
        <v>130</v>
      </c>
      <c r="K15" s="6" t="s">
        <v>131</v>
      </c>
    </row>
    <row r="16" spans="2:11">
      <c r="B16" s="5" t="s">
        <v>132</v>
      </c>
      <c r="C16" s="5" t="s">
        <v>123</v>
      </c>
      <c r="D16" s="6" t="s">
        <v>133</v>
      </c>
      <c r="E16" s="7" t="s">
        <v>125</v>
      </c>
      <c r="F16" s="7" t="s">
        <v>82</v>
      </c>
      <c r="G16" s="7" t="s">
        <v>98</v>
      </c>
      <c r="H16" s="7" t="s">
        <v>99</v>
      </c>
      <c r="I16" s="8" t="s">
        <v>84</v>
      </c>
      <c r="J16" s="6" t="s">
        <v>134</v>
      </c>
      <c r="K16" s="6" t="s">
        <v>131</v>
      </c>
    </row>
    <row r="17" spans="2:11">
      <c r="B17" s="5" t="s">
        <v>135</v>
      </c>
      <c r="C17" s="5" t="s">
        <v>123</v>
      </c>
      <c r="D17" s="6" t="s">
        <v>136</v>
      </c>
      <c r="E17" s="7" t="s">
        <v>125</v>
      </c>
      <c r="F17" s="7" t="s">
        <v>82</v>
      </c>
      <c r="G17" s="7" t="s">
        <v>89</v>
      </c>
      <c r="H17" s="7" t="s">
        <v>83</v>
      </c>
      <c r="I17" s="8" t="s">
        <v>84</v>
      </c>
      <c r="J17" s="6" t="s">
        <v>137</v>
      </c>
      <c r="K17" s="6" t="s">
        <v>138</v>
      </c>
    </row>
    <row r="18" spans="2:11">
      <c r="B18" s="5" t="s">
        <v>139</v>
      </c>
      <c r="C18" s="5" t="s">
        <v>123</v>
      </c>
      <c r="D18" s="6" t="s">
        <v>140</v>
      </c>
      <c r="E18" s="7" t="s">
        <v>125</v>
      </c>
      <c r="F18" s="7" t="s">
        <v>89</v>
      </c>
      <c r="G18" s="7" t="s">
        <v>98</v>
      </c>
      <c r="H18" s="7" t="s">
        <v>83</v>
      </c>
      <c r="I18" s="8" t="s">
        <v>84</v>
      </c>
      <c r="J18" s="6" t="s">
        <v>141</v>
      </c>
      <c r="K18" s="6" t="s">
        <v>142</v>
      </c>
    </row>
    <row r="19" spans="2:11">
      <c r="B19" s="5" t="s">
        <v>143</v>
      </c>
      <c r="C19" s="5" t="s">
        <v>123</v>
      </c>
      <c r="D19" s="6" t="s">
        <v>144</v>
      </c>
      <c r="E19" s="7" t="s">
        <v>125</v>
      </c>
      <c r="F19" s="7" t="s">
        <v>89</v>
      </c>
      <c r="G19" s="7" t="s">
        <v>98</v>
      </c>
      <c r="H19" s="7" t="s">
        <v>83</v>
      </c>
      <c r="I19" s="8" t="s">
        <v>84</v>
      </c>
      <c r="J19" s="6" t="s">
        <v>145</v>
      </c>
      <c r="K19" s="6" t="s">
        <v>146</v>
      </c>
    </row>
    <row r="20" spans="2:11">
      <c r="B20" s="5" t="s">
        <v>147</v>
      </c>
      <c r="C20" s="5" t="s">
        <v>123</v>
      </c>
      <c r="D20" s="6" t="s">
        <v>148</v>
      </c>
      <c r="E20" s="7" t="s">
        <v>125</v>
      </c>
      <c r="F20" s="7" t="s">
        <v>98</v>
      </c>
      <c r="G20" s="7" t="s">
        <v>109</v>
      </c>
      <c r="H20" s="7" t="s">
        <v>83</v>
      </c>
      <c r="I20" s="8" t="s">
        <v>84</v>
      </c>
      <c r="J20" s="6" t="s">
        <v>149</v>
      </c>
      <c r="K20" s="6" t="s">
        <v>150</v>
      </c>
    </row>
    <row r="21" spans="2:11">
      <c r="B21" s="5" t="s">
        <v>151</v>
      </c>
      <c r="C21" s="5" t="s">
        <v>123</v>
      </c>
      <c r="D21" s="6" t="s">
        <v>152</v>
      </c>
      <c r="E21" s="7" t="s">
        <v>153</v>
      </c>
      <c r="F21" s="7" t="s">
        <v>154</v>
      </c>
      <c r="G21" s="7" t="s">
        <v>155</v>
      </c>
      <c r="H21" s="7" t="s">
        <v>156</v>
      </c>
      <c r="I21" s="10" t="s">
        <v>62</v>
      </c>
      <c r="J21" s="6" t="s">
        <v>157</v>
      </c>
      <c r="K21" s="6" t="s">
        <v>158</v>
      </c>
    </row>
    <row r="22" spans="2:11">
      <c r="B22" s="5" t="s">
        <v>159</v>
      </c>
      <c r="C22" s="5" t="s">
        <v>160</v>
      </c>
      <c r="D22" s="6" t="s">
        <v>161</v>
      </c>
      <c r="E22" s="7" t="s">
        <v>162</v>
      </c>
      <c r="F22" s="7" t="s">
        <v>89</v>
      </c>
      <c r="G22" s="7" t="s">
        <v>98</v>
      </c>
      <c r="H22" s="7" t="s">
        <v>83</v>
      </c>
      <c r="I22" s="8" t="s">
        <v>84</v>
      </c>
      <c r="J22" s="6" t="s">
        <v>163</v>
      </c>
      <c r="K22" s="6" t="s">
        <v>164</v>
      </c>
    </row>
    <row r="23" spans="2:11">
      <c r="B23" s="5" t="s">
        <v>165</v>
      </c>
      <c r="C23" s="5" t="s">
        <v>160</v>
      </c>
      <c r="D23" s="6" t="s">
        <v>166</v>
      </c>
      <c r="E23" s="7" t="s">
        <v>162</v>
      </c>
      <c r="F23" s="7" t="s">
        <v>89</v>
      </c>
      <c r="G23" s="7" t="s">
        <v>98</v>
      </c>
      <c r="H23" s="7" t="s">
        <v>83</v>
      </c>
      <c r="I23" s="8" t="s">
        <v>84</v>
      </c>
      <c r="J23" s="6" t="s">
        <v>167</v>
      </c>
      <c r="K23" s="6" t="s">
        <v>168</v>
      </c>
    </row>
    <row r="24" spans="2:11">
      <c r="B24" s="5" t="s">
        <v>169</v>
      </c>
      <c r="C24" s="5" t="s">
        <v>160</v>
      </c>
      <c r="D24" s="6" t="s">
        <v>170</v>
      </c>
      <c r="E24" s="7" t="s">
        <v>162</v>
      </c>
      <c r="F24" s="7" t="s">
        <v>98</v>
      </c>
      <c r="G24" s="7" t="s">
        <v>109</v>
      </c>
      <c r="H24" s="7" t="s">
        <v>83</v>
      </c>
      <c r="I24" s="8" t="s">
        <v>84</v>
      </c>
      <c r="J24" s="6" t="s">
        <v>171</v>
      </c>
      <c r="K24" s="6" t="s">
        <v>172</v>
      </c>
    </row>
    <row r="25" spans="2:11">
      <c r="B25" s="5" t="s">
        <v>173</v>
      </c>
      <c r="C25" s="5" t="s">
        <v>160</v>
      </c>
      <c r="D25" s="6" t="s">
        <v>174</v>
      </c>
      <c r="E25" s="7" t="s">
        <v>175</v>
      </c>
      <c r="F25" s="7" t="s">
        <v>109</v>
      </c>
      <c r="G25" s="7" t="s">
        <v>176</v>
      </c>
      <c r="H25" s="7" t="s">
        <v>156</v>
      </c>
      <c r="I25" s="9" t="s">
        <v>57</v>
      </c>
      <c r="J25" s="6" t="s">
        <v>177</v>
      </c>
      <c r="K25" s="6" t="s">
        <v>178</v>
      </c>
    </row>
    <row r="26" spans="2:11">
      <c r="B26" s="5" t="s">
        <v>179</v>
      </c>
      <c r="C26" s="5" t="s">
        <v>160</v>
      </c>
      <c r="D26" s="6" t="s">
        <v>180</v>
      </c>
      <c r="E26" s="7" t="s">
        <v>162</v>
      </c>
      <c r="F26" s="7" t="s">
        <v>181</v>
      </c>
      <c r="G26" s="7" t="s">
        <v>182</v>
      </c>
      <c r="H26" s="7" t="s">
        <v>156</v>
      </c>
      <c r="I26" s="10" t="s">
        <v>62</v>
      </c>
      <c r="J26" s="6" t="s">
        <v>183</v>
      </c>
      <c r="K26" s="6" t="s">
        <v>184</v>
      </c>
    </row>
    <row r="27" spans="2:11">
      <c r="B27" s="5" t="s">
        <v>185</v>
      </c>
      <c r="C27" s="5" t="s">
        <v>160</v>
      </c>
      <c r="D27" s="6" t="s">
        <v>186</v>
      </c>
      <c r="E27" s="7" t="s">
        <v>175</v>
      </c>
      <c r="F27" s="7" t="s">
        <v>115</v>
      </c>
      <c r="G27" s="7" t="s">
        <v>154</v>
      </c>
      <c r="H27" s="7" t="s">
        <v>156</v>
      </c>
      <c r="I27" s="9" t="s">
        <v>57</v>
      </c>
      <c r="J27" s="6" t="s">
        <v>187</v>
      </c>
      <c r="K27" s="6" t="s">
        <v>131</v>
      </c>
    </row>
    <row r="28" spans="2:11">
      <c r="B28" s="5" t="s">
        <v>188</v>
      </c>
      <c r="C28" s="5" t="s">
        <v>160</v>
      </c>
      <c r="D28" s="6" t="s">
        <v>189</v>
      </c>
      <c r="E28" s="7" t="s">
        <v>162</v>
      </c>
      <c r="F28" s="7" t="s">
        <v>176</v>
      </c>
      <c r="G28" s="7" t="s">
        <v>190</v>
      </c>
      <c r="H28" s="7" t="s">
        <v>156</v>
      </c>
      <c r="I28" s="10" t="s">
        <v>62</v>
      </c>
      <c r="J28" s="6" t="s">
        <v>191</v>
      </c>
      <c r="K28" s="6" t="s">
        <v>192</v>
      </c>
    </row>
    <row r="29" spans="2:11">
      <c r="B29" s="5" t="s">
        <v>193</v>
      </c>
      <c r="C29" s="5" t="s">
        <v>160</v>
      </c>
      <c r="D29" s="6" t="s">
        <v>194</v>
      </c>
      <c r="E29" s="7" t="s">
        <v>175</v>
      </c>
      <c r="F29" s="7" t="s">
        <v>98</v>
      </c>
      <c r="G29" s="7" t="s">
        <v>115</v>
      </c>
      <c r="H29" s="7" t="s">
        <v>99</v>
      </c>
      <c r="I29" s="8" t="s">
        <v>84</v>
      </c>
      <c r="J29" s="6" t="s">
        <v>195</v>
      </c>
      <c r="K29" s="6" t="s">
        <v>196</v>
      </c>
    </row>
    <row r="30" spans="2:11">
      <c r="B30" s="5" t="s">
        <v>197</v>
      </c>
      <c r="C30" s="5" t="s">
        <v>198</v>
      </c>
      <c r="D30" s="6" t="s">
        <v>199</v>
      </c>
      <c r="E30" s="7" t="s">
        <v>125</v>
      </c>
      <c r="F30" s="7" t="s">
        <v>81</v>
      </c>
      <c r="G30" s="7" t="s">
        <v>98</v>
      </c>
      <c r="H30" s="7" t="s">
        <v>156</v>
      </c>
      <c r="I30" s="8" t="s">
        <v>84</v>
      </c>
      <c r="J30" s="6" t="s">
        <v>200</v>
      </c>
      <c r="K30" s="6" t="s">
        <v>201</v>
      </c>
    </row>
    <row r="31" spans="2:11">
      <c r="B31" s="5" t="s">
        <v>202</v>
      </c>
      <c r="C31" s="5" t="s">
        <v>198</v>
      </c>
      <c r="D31" s="6" t="s">
        <v>203</v>
      </c>
      <c r="E31" s="7" t="s">
        <v>125</v>
      </c>
      <c r="F31" s="7" t="s">
        <v>89</v>
      </c>
      <c r="G31" s="7" t="s">
        <v>98</v>
      </c>
      <c r="H31" s="7" t="s">
        <v>83</v>
      </c>
      <c r="I31" s="8" t="s">
        <v>84</v>
      </c>
      <c r="J31" s="6" t="s">
        <v>204</v>
      </c>
      <c r="K31" s="6" t="s">
        <v>205</v>
      </c>
    </row>
    <row r="32" spans="2:11">
      <c r="B32" s="5" t="s">
        <v>206</v>
      </c>
      <c r="C32" s="5" t="s">
        <v>198</v>
      </c>
      <c r="D32" s="6" t="s">
        <v>207</v>
      </c>
      <c r="E32" s="7" t="s">
        <v>153</v>
      </c>
      <c r="F32" s="7" t="s">
        <v>181</v>
      </c>
      <c r="G32" s="7" t="s">
        <v>182</v>
      </c>
      <c r="H32" s="7" t="s">
        <v>156</v>
      </c>
      <c r="I32" s="9" t="s">
        <v>57</v>
      </c>
      <c r="J32" s="6" t="s">
        <v>208</v>
      </c>
      <c r="K32" s="6" t="s">
        <v>209</v>
      </c>
    </row>
    <row r="33" spans="2:11">
      <c r="B33" s="5" t="s">
        <v>210</v>
      </c>
      <c r="C33" s="5" t="s">
        <v>198</v>
      </c>
      <c r="D33" s="6" t="s">
        <v>211</v>
      </c>
      <c r="E33" s="7" t="s">
        <v>212</v>
      </c>
      <c r="F33" s="7" t="s">
        <v>176</v>
      </c>
      <c r="G33" s="7" t="s">
        <v>155</v>
      </c>
      <c r="H33" s="7" t="s">
        <v>213</v>
      </c>
      <c r="I33" s="10" t="s">
        <v>62</v>
      </c>
      <c r="J33" s="6" t="s">
        <v>214</v>
      </c>
      <c r="K33" s="6" t="s">
        <v>215</v>
      </c>
    </row>
    <row r="34" spans="2:11">
      <c r="B34" s="5" t="s">
        <v>216</v>
      </c>
      <c r="C34" s="5" t="s">
        <v>198</v>
      </c>
      <c r="D34" s="6" t="s">
        <v>217</v>
      </c>
      <c r="E34" s="7" t="s">
        <v>80</v>
      </c>
      <c r="F34" s="7" t="s">
        <v>115</v>
      </c>
      <c r="G34" s="7" t="s">
        <v>182</v>
      </c>
      <c r="H34" s="7" t="s">
        <v>213</v>
      </c>
      <c r="I34" s="9" t="s">
        <v>57</v>
      </c>
      <c r="J34" s="6" t="s">
        <v>218</v>
      </c>
      <c r="K34" s="6" t="s">
        <v>219</v>
      </c>
    </row>
    <row r="35" spans="2:11">
      <c r="B35" s="5" t="s">
        <v>220</v>
      </c>
      <c r="C35" s="5" t="s">
        <v>198</v>
      </c>
      <c r="D35" s="6" t="s">
        <v>221</v>
      </c>
      <c r="E35" s="7" t="s">
        <v>153</v>
      </c>
      <c r="F35" s="7" t="s">
        <v>190</v>
      </c>
      <c r="G35" s="7" t="s">
        <v>222</v>
      </c>
      <c r="H35" s="7" t="s">
        <v>156</v>
      </c>
      <c r="I35" s="10" t="s">
        <v>62</v>
      </c>
      <c r="J35" s="6" t="s">
        <v>223</v>
      </c>
      <c r="K35" s="6" t="s">
        <v>224</v>
      </c>
    </row>
    <row r="36" spans="2:11">
      <c r="B36" s="5" t="s">
        <v>225</v>
      </c>
      <c r="C36" s="5" t="s">
        <v>198</v>
      </c>
      <c r="D36" s="6" t="s">
        <v>226</v>
      </c>
      <c r="E36" s="7" t="s">
        <v>125</v>
      </c>
      <c r="F36" s="7" t="s">
        <v>155</v>
      </c>
      <c r="G36" s="7" t="s">
        <v>227</v>
      </c>
      <c r="H36" s="7" t="s">
        <v>156</v>
      </c>
      <c r="I36" s="10" t="s">
        <v>62</v>
      </c>
      <c r="J36" s="6" t="s">
        <v>228</v>
      </c>
      <c r="K36" s="6" t="s">
        <v>229</v>
      </c>
    </row>
    <row r="37" spans="2:11">
      <c r="B37" s="5" t="s">
        <v>230</v>
      </c>
      <c r="C37" s="5" t="s">
        <v>231</v>
      </c>
      <c r="D37" s="6" t="s">
        <v>232</v>
      </c>
      <c r="E37" s="7" t="s">
        <v>162</v>
      </c>
      <c r="F37" s="7" t="s">
        <v>89</v>
      </c>
      <c r="G37" s="7" t="s">
        <v>115</v>
      </c>
      <c r="H37" s="7" t="s">
        <v>156</v>
      </c>
      <c r="I37" s="9" t="s">
        <v>57</v>
      </c>
      <c r="J37" s="6" t="s">
        <v>233</v>
      </c>
      <c r="K37" s="6" t="s">
        <v>234</v>
      </c>
    </row>
    <row r="38" spans="2:11">
      <c r="B38" s="5" t="s">
        <v>235</v>
      </c>
      <c r="C38" s="5" t="s">
        <v>231</v>
      </c>
      <c r="D38" s="6" t="s">
        <v>236</v>
      </c>
      <c r="E38" s="7" t="s">
        <v>162</v>
      </c>
      <c r="F38" s="7" t="s">
        <v>98</v>
      </c>
      <c r="G38" s="7" t="s">
        <v>181</v>
      </c>
      <c r="H38" s="7" t="s">
        <v>156</v>
      </c>
      <c r="I38" s="9" t="s">
        <v>57</v>
      </c>
      <c r="J38" s="6" t="s">
        <v>237</v>
      </c>
      <c r="K38" s="6" t="s">
        <v>192</v>
      </c>
    </row>
    <row r="39" spans="2:11">
      <c r="B39" s="5" t="s">
        <v>238</v>
      </c>
      <c r="C39" s="5" t="s">
        <v>231</v>
      </c>
      <c r="D39" s="6" t="s">
        <v>239</v>
      </c>
      <c r="E39" s="7" t="s">
        <v>240</v>
      </c>
      <c r="F39" s="7" t="s">
        <v>181</v>
      </c>
      <c r="G39" s="7" t="s">
        <v>182</v>
      </c>
      <c r="H39" s="7" t="s">
        <v>156</v>
      </c>
      <c r="I39" s="10" t="s">
        <v>62</v>
      </c>
      <c r="J39" s="6" t="s">
        <v>241</v>
      </c>
      <c r="K39" s="6" t="s">
        <v>242</v>
      </c>
    </row>
    <row r="40" spans="2:11">
      <c r="B40" s="5" t="s">
        <v>243</v>
      </c>
      <c r="C40" s="5" t="s">
        <v>231</v>
      </c>
      <c r="D40" s="6" t="s">
        <v>244</v>
      </c>
      <c r="E40" s="7" t="s">
        <v>162</v>
      </c>
      <c r="F40" s="7" t="s">
        <v>109</v>
      </c>
      <c r="G40" s="7" t="s">
        <v>176</v>
      </c>
      <c r="H40" s="7" t="s">
        <v>156</v>
      </c>
      <c r="I40" s="9" t="s">
        <v>57</v>
      </c>
      <c r="J40" s="6" t="s">
        <v>245</v>
      </c>
      <c r="K40" s="6" t="s">
        <v>246</v>
      </c>
    </row>
    <row r="41" spans="2:11">
      <c r="B41" s="5" t="s">
        <v>247</v>
      </c>
      <c r="C41" s="5" t="s">
        <v>231</v>
      </c>
      <c r="D41" s="6" t="s">
        <v>248</v>
      </c>
      <c r="E41" s="7" t="s">
        <v>104</v>
      </c>
      <c r="F41" s="7" t="s">
        <v>115</v>
      </c>
      <c r="G41" s="7" t="s">
        <v>154</v>
      </c>
      <c r="H41" s="7" t="s">
        <v>156</v>
      </c>
      <c r="I41" s="9" t="s">
        <v>57</v>
      </c>
      <c r="J41" s="6" t="s">
        <v>249</v>
      </c>
      <c r="K41" s="6" t="s">
        <v>250</v>
      </c>
    </row>
    <row r="42" spans="2:11">
      <c r="B42" s="5" t="s">
        <v>251</v>
      </c>
      <c r="C42" s="5" t="s">
        <v>231</v>
      </c>
      <c r="D42" s="6" t="s">
        <v>252</v>
      </c>
      <c r="E42" s="7" t="s">
        <v>114</v>
      </c>
      <c r="F42" s="7" t="s">
        <v>176</v>
      </c>
      <c r="G42" s="7" t="s">
        <v>155</v>
      </c>
      <c r="H42" s="7" t="s">
        <v>213</v>
      </c>
      <c r="I42" s="9" t="s">
        <v>57</v>
      </c>
      <c r="J42" s="6" t="s">
        <v>253</v>
      </c>
      <c r="K42" s="6" t="s">
        <v>254</v>
      </c>
    </row>
    <row r="43" spans="2:11">
      <c r="B43" s="5" t="s">
        <v>255</v>
      </c>
      <c r="C43" s="5" t="s">
        <v>231</v>
      </c>
      <c r="D43" s="6" t="s">
        <v>256</v>
      </c>
      <c r="E43" s="7" t="s">
        <v>153</v>
      </c>
      <c r="F43" s="7" t="s">
        <v>182</v>
      </c>
      <c r="G43" s="7" t="s">
        <v>257</v>
      </c>
      <c r="H43" s="7" t="s">
        <v>156</v>
      </c>
      <c r="I43" s="10" t="s">
        <v>62</v>
      </c>
      <c r="J43" s="6" t="s">
        <v>258</v>
      </c>
      <c r="K43" s="6" t="s">
        <v>259</v>
      </c>
    </row>
    <row r="44" spans="2:11">
      <c r="B44" s="5" t="s">
        <v>260</v>
      </c>
      <c r="C44" s="5" t="s">
        <v>231</v>
      </c>
      <c r="D44" s="6" t="s">
        <v>261</v>
      </c>
      <c r="E44" s="7" t="s">
        <v>80</v>
      </c>
      <c r="F44" s="7" t="s">
        <v>154</v>
      </c>
      <c r="G44" s="7" t="s">
        <v>155</v>
      </c>
      <c r="H44" s="7" t="s">
        <v>156</v>
      </c>
      <c r="I44" s="10" t="s">
        <v>62</v>
      </c>
      <c r="J44" s="6" t="s">
        <v>262</v>
      </c>
      <c r="K44" s="6" t="s">
        <v>263</v>
      </c>
    </row>
    <row r="45" spans="2:11">
      <c r="B45" s="5" t="s">
        <v>264</v>
      </c>
      <c r="C45" s="5" t="s">
        <v>231</v>
      </c>
      <c r="D45" s="6" t="s">
        <v>265</v>
      </c>
      <c r="E45" s="7" t="s">
        <v>80</v>
      </c>
      <c r="F45" s="7" t="s">
        <v>176</v>
      </c>
      <c r="G45" s="7" t="s">
        <v>190</v>
      </c>
      <c r="H45" s="7" t="s">
        <v>156</v>
      </c>
      <c r="I45" s="10" t="s">
        <v>62</v>
      </c>
      <c r="J45" s="6" t="s">
        <v>266</v>
      </c>
      <c r="K45" s="6" t="s">
        <v>267</v>
      </c>
    </row>
    <row r="46" spans="2:11">
      <c r="B46" s="5" t="s">
        <v>268</v>
      </c>
      <c r="C46" s="5" t="s">
        <v>231</v>
      </c>
      <c r="D46" s="6" t="s">
        <v>269</v>
      </c>
      <c r="E46" s="7" t="s">
        <v>104</v>
      </c>
      <c r="F46" s="7" t="s">
        <v>257</v>
      </c>
      <c r="G46" s="7" t="s">
        <v>227</v>
      </c>
      <c r="H46" s="7" t="s">
        <v>99</v>
      </c>
      <c r="I46" s="10" t="s">
        <v>62</v>
      </c>
      <c r="J46" s="6" t="s">
        <v>270</v>
      </c>
      <c r="K46" s="6" t="s">
        <v>271</v>
      </c>
    </row>
  </sheetData>
  <mergeCells count="2">
    <mergeCell ref="B2:K2"/>
    <mergeCell ref="B3:K3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D9488"/>
  </sheetPr>
  <dimension ref="B2:T52"/>
  <sheetViews>
    <sheetView workbookViewId="0"/>
  </sheetViews>
  <sheetFormatPr defaultRowHeight="15"/>
  <cols>
    <col min="1" max="1" width="4.7109375" customWidth="1"/>
    <col min="2" max="2" width="10.7109375" customWidth="1"/>
    <col min="3" max="3" width="26.7109375" customWidth="1"/>
    <col min="4" max="4" width="12.7109375" customWidth="1"/>
    <col min="5" max="20" width="5.28515625" customWidth="1"/>
  </cols>
  <sheetData>
    <row r="2" spans="2:20">
      <c r="B2" s="1" t="s">
        <v>272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>
      <c r="B3" s="2" t="s">
        <v>273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spans="2:20">
      <c r="B5" s="4" t="s">
        <v>69</v>
      </c>
      <c r="C5" s="4" t="s">
        <v>274</v>
      </c>
      <c r="D5" s="4" t="s">
        <v>275</v>
      </c>
      <c r="E5" s="4" t="s">
        <v>81</v>
      </c>
      <c r="F5" s="4" t="s">
        <v>82</v>
      </c>
      <c r="G5" s="4" t="s">
        <v>89</v>
      </c>
      <c r="H5" s="4" t="s">
        <v>98</v>
      </c>
      <c r="I5" s="4" t="s">
        <v>109</v>
      </c>
      <c r="J5" s="4" t="s">
        <v>115</v>
      </c>
      <c r="K5" s="4" t="s">
        <v>181</v>
      </c>
      <c r="L5" s="4" t="s">
        <v>176</v>
      </c>
      <c r="M5" s="4" t="s">
        <v>154</v>
      </c>
      <c r="N5" s="4" t="s">
        <v>182</v>
      </c>
      <c r="O5" s="4" t="s">
        <v>190</v>
      </c>
      <c r="P5" s="4" t="s">
        <v>155</v>
      </c>
      <c r="Q5" s="4" t="s">
        <v>257</v>
      </c>
      <c r="R5" s="4" t="s">
        <v>222</v>
      </c>
      <c r="S5" s="4" t="s">
        <v>227</v>
      </c>
      <c r="T5" s="4" t="s">
        <v>276</v>
      </c>
    </row>
    <row r="6" spans="2:20">
      <c r="B6" s="5" t="s">
        <v>77</v>
      </c>
      <c r="C6" s="6" t="s">
        <v>79</v>
      </c>
      <c r="D6" s="7" t="s">
        <v>80</v>
      </c>
      <c r="E6" s="11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2:20">
      <c r="B7" s="5" t="s">
        <v>87</v>
      </c>
      <c r="C7" s="6" t="s">
        <v>88</v>
      </c>
      <c r="D7" s="7" t="s">
        <v>80</v>
      </c>
      <c r="E7" s="12"/>
      <c r="F7" s="11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2:20">
      <c r="B8" s="5" t="s">
        <v>92</v>
      </c>
      <c r="C8" s="6" t="s">
        <v>93</v>
      </c>
      <c r="D8" s="7" t="s">
        <v>80</v>
      </c>
      <c r="E8" s="12"/>
      <c r="F8" s="11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2:20">
      <c r="B9" s="5" t="s">
        <v>96</v>
      </c>
      <c r="C9" s="6" t="s">
        <v>97</v>
      </c>
      <c r="D9" s="7" t="s">
        <v>80</v>
      </c>
      <c r="E9" s="12"/>
      <c r="F9" s="11"/>
      <c r="G9" s="11"/>
      <c r="H9" s="11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2:20">
      <c r="B10" s="5" t="s">
        <v>102</v>
      </c>
      <c r="C10" s="6" t="s">
        <v>103</v>
      </c>
      <c r="D10" s="7" t="s">
        <v>104</v>
      </c>
      <c r="E10" s="12"/>
      <c r="F10" s="13"/>
      <c r="G10" s="13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2:20">
      <c r="B11" s="5" t="s">
        <v>107</v>
      </c>
      <c r="C11" s="6" t="s">
        <v>108</v>
      </c>
      <c r="D11" s="7" t="s">
        <v>104</v>
      </c>
      <c r="E11" s="12"/>
      <c r="F11" s="12"/>
      <c r="G11" s="13"/>
      <c r="H11" s="13"/>
      <c r="I11" s="13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2:20">
      <c r="B12" s="5" t="s">
        <v>112</v>
      </c>
      <c r="C12" s="6" t="s">
        <v>113</v>
      </c>
      <c r="D12" s="7" t="s">
        <v>114</v>
      </c>
      <c r="E12" s="12"/>
      <c r="F12" s="12"/>
      <c r="G12" s="12"/>
      <c r="H12" s="13"/>
      <c r="I12" s="13"/>
      <c r="J12" s="13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2:20">
      <c r="B13" s="5" t="s">
        <v>118</v>
      </c>
      <c r="C13" s="6" t="s">
        <v>119</v>
      </c>
      <c r="D13" s="7" t="s">
        <v>80</v>
      </c>
      <c r="E13" s="12"/>
      <c r="F13" s="12"/>
      <c r="G13" s="11"/>
      <c r="H13" s="11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2:20">
      <c r="B14" s="5" t="s">
        <v>122</v>
      </c>
      <c r="C14" s="6" t="s">
        <v>124</v>
      </c>
      <c r="D14" s="7" t="s">
        <v>125</v>
      </c>
      <c r="E14" s="14"/>
      <c r="F14" s="14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2:20">
      <c r="B15" s="5" t="s">
        <v>128</v>
      </c>
      <c r="C15" s="6" t="s">
        <v>129</v>
      </c>
      <c r="D15" s="7" t="s">
        <v>125</v>
      </c>
      <c r="E15" s="14"/>
      <c r="F15" s="14"/>
      <c r="G15" s="14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2:20">
      <c r="B16" s="5" t="s">
        <v>132</v>
      </c>
      <c r="C16" s="6" t="s">
        <v>133</v>
      </c>
      <c r="D16" s="7" t="s">
        <v>125</v>
      </c>
      <c r="E16" s="12"/>
      <c r="F16" s="14"/>
      <c r="G16" s="14"/>
      <c r="H16" s="1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>
      <c r="B17" s="5" t="s">
        <v>135</v>
      </c>
      <c r="C17" s="6" t="s">
        <v>136</v>
      </c>
      <c r="D17" s="7" t="s">
        <v>125</v>
      </c>
      <c r="E17" s="12"/>
      <c r="F17" s="14"/>
      <c r="G17" s="14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2:20">
      <c r="B18" s="5" t="s">
        <v>139</v>
      </c>
      <c r="C18" s="6" t="s">
        <v>140</v>
      </c>
      <c r="D18" s="7" t="s">
        <v>125</v>
      </c>
      <c r="E18" s="12"/>
      <c r="F18" s="12"/>
      <c r="G18" s="14"/>
      <c r="H18" s="1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2:20">
      <c r="B19" s="5" t="s">
        <v>143</v>
      </c>
      <c r="C19" s="6" t="s">
        <v>144</v>
      </c>
      <c r="D19" s="7" t="s">
        <v>125</v>
      </c>
      <c r="E19" s="12"/>
      <c r="F19" s="12"/>
      <c r="G19" s="14"/>
      <c r="H19" s="1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2:20">
      <c r="B20" s="5" t="s">
        <v>147</v>
      </c>
      <c r="C20" s="6" t="s">
        <v>148</v>
      </c>
      <c r="D20" s="7" t="s">
        <v>125</v>
      </c>
      <c r="E20" s="12"/>
      <c r="F20" s="12"/>
      <c r="G20" s="12"/>
      <c r="H20" s="14"/>
      <c r="I20" s="14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2:20">
      <c r="B21" s="5" t="s">
        <v>151</v>
      </c>
      <c r="C21" s="6" t="s">
        <v>152</v>
      </c>
      <c r="D21" s="7" t="s">
        <v>153</v>
      </c>
      <c r="E21" s="12"/>
      <c r="F21" s="12"/>
      <c r="G21" s="12"/>
      <c r="H21" s="12"/>
      <c r="I21" s="12"/>
      <c r="J21" s="12"/>
      <c r="K21" s="12"/>
      <c r="L21" s="12"/>
      <c r="M21" s="13"/>
      <c r="N21" s="13"/>
      <c r="O21" s="13"/>
      <c r="P21" s="13"/>
      <c r="Q21" s="12"/>
      <c r="R21" s="12"/>
      <c r="S21" s="12"/>
      <c r="T21" s="12"/>
    </row>
    <row r="22" spans="2:20">
      <c r="B22" s="5" t="s">
        <v>159</v>
      </c>
      <c r="C22" s="6" t="s">
        <v>161</v>
      </c>
      <c r="D22" s="7" t="s">
        <v>162</v>
      </c>
      <c r="E22" s="12"/>
      <c r="F22" s="12"/>
      <c r="G22" s="15"/>
      <c r="H22" s="15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2:20">
      <c r="B23" s="5" t="s">
        <v>165</v>
      </c>
      <c r="C23" s="6" t="s">
        <v>166</v>
      </c>
      <c r="D23" s="7" t="s">
        <v>162</v>
      </c>
      <c r="E23" s="12"/>
      <c r="F23" s="12"/>
      <c r="G23" s="15"/>
      <c r="H23" s="15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2:20">
      <c r="B24" s="5" t="s">
        <v>169</v>
      </c>
      <c r="C24" s="6" t="s">
        <v>170</v>
      </c>
      <c r="D24" s="7" t="s">
        <v>162</v>
      </c>
      <c r="E24" s="12"/>
      <c r="F24" s="12"/>
      <c r="G24" s="12"/>
      <c r="H24" s="15"/>
      <c r="I24" s="1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2:20">
      <c r="B25" s="5" t="s">
        <v>173</v>
      </c>
      <c r="C25" s="6" t="s">
        <v>174</v>
      </c>
      <c r="D25" s="7" t="s">
        <v>175</v>
      </c>
      <c r="E25" s="12"/>
      <c r="F25" s="12"/>
      <c r="G25" s="12"/>
      <c r="H25" s="12"/>
      <c r="I25" s="13"/>
      <c r="J25" s="13"/>
      <c r="K25" s="13"/>
      <c r="L25" s="13"/>
      <c r="M25" s="12"/>
      <c r="N25" s="12"/>
      <c r="O25" s="12"/>
      <c r="P25" s="12"/>
      <c r="Q25" s="12"/>
      <c r="R25" s="12"/>
      <c r="S25" s="12"/>
      <c r="T25" s="12"/>
    </row>
    <row r="26" spans="2:20">
      <c r="B26" s="5" t="s">
        <v>179</v>
      </c>
      <c r="C26" s="6" t="s">
        <v>180</v>
      </c>
      <c r="D26" s="7" t="s">
        <v>162</v>
      </c>
      <c r="E26" s="12"/>
      <c r="F26" s="12"/>
      <c r="G26" s="12"/>
      <c r="H26" s="12"/>
      <c r="I26" s="12"/>
      <c r="J26" s="12"/>
      <c r="K26" s="15"/>
      <c r="L26" s="15"/>
      <c r="M26" s="15"/>
      <c r="N26" s="15"/>
      <c r="O26" s="12"/>
      <c r="P26" s="12"/>
      <c r="Q26" s="12"/>
      <c r="R26" s="12"/>
      <c r="S26" s="12"/>
      <c r="T26" s="12"/>
    </row>
    <row r="27" spans="2:20">
      <c r="B27" s="5" t="s">
        <v>185</v>
      </c>
      <c r="C27" s="6" t="s">
        <v>186</v>
      </c>
      <c r="D27" s="7" t="s">
        <v>175</v>
      </c>
      <c r="E27" s="12"/>
      <c r="F27" s="12"/>
      <c r="G27" s="12"/>
      <c r="H27" s="12"/>
      <c r="I27" s="12"/>
      <c r="J27" s="13"/>
      <c r="K27" s="13"/>
      <c r="L27" s="13"/>
      <c r="M27" s="13"/>
      <c r="N27" s="12"/>
      <c r="O27" s="12"/>
      <c r="P27" s="12"/>
      <c r="Q27" s="12"/>
      <c r="R27" s="12"/>
      <c r="S27" s="12"/>
      <c r="T27" s="12"/>
    </row>
    <row r="28" spans="2:20">
      <c r="B28" s="5" t="s">
        <v>188</v>
      </c>
      <c r="C28" s="6" t="s">
        <v>189</v>
      </c>
      <c r="D28" s="7" t="s">
        <v>162</v>
      </c>
      <c r="E28" s="12"/>
      <c r="F28" s="12"/>
      <c r="G28" s="12"/>
      <c r="H28" s="12"/>
      <c r="I28" s="12"/>
      <c r="J28" s="12"/>
      <c r="K28" s="12"/>
      <c r="L28" s="15"/>
      <c r="M28" s="15"/>
      <c r="N28" s="15"/>
      <c r="O28" s="15"/>
      <c r="P28" s="12"/>
      <c r="Q28" s="12"/>
      <c r="R28" s="12"/>
      <c r="S28" s="12"/>
      <c r="T28" s="12"/>
    </row>
    <row r="29" spans="2:20">
      <c r="B29" s="5" t="s">
        <v>193</v>
      </c>
      <c r="C29" s="6" t="s">
        <v>194</v>
      </c>
      <c r="D29" s="7" t="s">
        <v>175</v>
      </c>
      <c r="E29" s="12"/>
      <c r="F29" s="12"/>
      <c r="G29" s="12"/>
      <c r="H29" s="13"/>
      <c r="I29" s="13"/>
      <c r="J29" s="13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2:20">
      <c r="B30" s="5" t="s">
        <v>197</v>
      </c>
      <c r="C30" s="6" t="s">
        <v>199</v>
      </c>
      <c r="D30" s="7" t="s">
        <v>125</v>
      </c>
      <c r="E30" s="14"/>
      <c r="F30" s="14"/>
      <c r="G30" s="14"/>
      <c r="H30" s="1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2:20">
      <c r="B31" s="5" t="s">
        <v>202</v>
      </c>
      <c r="C31" s="6" t="s">
        <v>203</v>
      </c>
      <c r="D31" s="7" t="s">
        <v>125</v>
      </c>
      <c r="E31" s="12"/>
      <c r="F31" s="12"/>
      <c r="G31" s="14"/>
      <c r="H31" s="1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2:20">
      <c r="B32" s="5" t="s">
        <v>206</v>
      </c>
      <c r="C32" s="6" t="s">
        <v>207</v>
      </c>
      <c r="D32" s="7" t="s">
        <v>153</v>
      </c>
      <c r="E32" s="12"/>
      <c r="F32" s="12"/>
      <c r="G32" s="12"/>
      <c r="H32" s="12"/>
      <c r="I32" s="12"/>
      <c r="J32" s="12"/>
      <c r="K32" s="13"/>
      <c r="L32" s="13"/>
      <c r="M32" s="13"/>
      <c r="N32" s="13"/>
      <c r="O32" s="12"/>
      <c r="P32" s="12"/>
      <c r="Q32" s="12"/>
      <c r="R32" s="12"/>
      <c r="S32" s="12"/>
      <c r="T32" s="12"/>
    </row>
    <row r="33" spans="2:20">
      <c r="B33" s="5" t="s">
        <v>210</v>
      </c>
      <c r="C33" s="6" t="s">
        <v>211</v>
      </c>
      <c r="D33" s="7" t="s">
        <v>212</v>
      </c>
      <c r="E33" s="12"/>
      <c r="F33" s="12"/>
      <c r="G33" s="12"/>
      <c r="H33" s="12"/>
      <c r="I33" s="12"/>
      <c r="J33" s="12"/>
      <c r="K33" s="12"/>
      <c r="L33" s="13"/>
      <c r="M33" s="13"/>
      <c r="N33" s="13"/>
      <c r="O33" s="13"/>
      <c r="P33" s="13"/>
      <c r="Q33" s="12"/>
      <c r="R33" s="12"/>
      <c r="S33" s="12"/>
      <c r="T33" s="12"/>
    </row>
    <row r="34" spans="2:20">
      <c r="B34" s="5" t="s">
        <v>216</v>
      </c>
      <c r="C34" s="6" t="s">
        <v>217</v>
      </c>
      <c r="D34" s="7" t="s">
        <v>80</v>
      </c>
      <c r="E34" s="12"/>
      <c r="F34" s="12"/>
      <c r="G34" s="12"/>
      <c r="H34" s="12"/>
      <c r="I34" s="12"/>
      <c r="J34" s="11"/>
      <c r="K34" s="11"/>
      <c r="L34" s="11"/>
      <c r="M34" s="11"/>
      <c r="N34" s="11"/>
      <c r="O34" s="12"/>
      <c r="P34" s="12"/>
      <c r="Q34" s="12"/>
      <c r="R34" s="12"/>
      <c r="S34" s="12"/>
      <c r="T34" s="12"/>
    </row>
    <row r="35" spans="2:20">
      <c r="B35" s="5" t="s">
        <v>220</v>
      </c>
      <c r="C35" s="6" t="s">
        <v>221</v>
      </c>
      <c r="D35" s="7" t="s">
        <v>153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3"/>
      <c r="Q35" s="13"/>
      <c r="R35" s="13"/>
      <c r="S35" s="12"/>
      <c r="T35" s="12"/>
    </row>
    <row r="36" spans="2:20">
      <c r="B36" s="5" t="s">
        <v>225</v>
      </c>
      <c r="C36" s="6" t="s">
        <v>226</v>
      </c>
      <c r="D36" s="7" t="s">
        <v>125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4"/>
      <c r="Q36" s="14"/>
      <c r="R36" s="14"/>
      <c r="S36" s="14"/>
      <c r="T36" s="12"/>
    </row>
    <row r="37" spans="2:20">
      <c r="B37" s="5" t="s">
        <v>230</v>
      </c>
      <c r="C37" s="6" t="s">
        <v>232</v>
      </c>
      <c r="D37" s="7" t="s">
        <v>162</v>
      </c>
      <c r="E37" s="12"/>
      <c r="F37" s="12"/>
      <c r="G37" s="15"/>
      <c r="H37" s="15"/>
      <c r="I37" s="15"/>
      <c r="J37" s="15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2:20">
      <c r="B38" s="5" t="s">
        <v>235</v>
      </c>
      <c r="C38" s="6" t="s">
        <v>236</v>
      </c>
      <c r="D38" s="7" t="s">
        <v>162</v>
      </c>
      <c r="E38" s="12"/>
      <c r="F38" s="12"/>
      <c r="G38" s="12"/>
      <c r="H38" s="15"/>
      <c r="I38" s="15"/>
      <c r="J38" s="15"/>
      <c r="K38" s="15"/>
      <c r="L38" s="12"/>
      <c r="M38" s="12"/>
      <c r="N38" s="12"/>
      <c r="O38" s="12"/>
      <c r="P38" s="12"/>
      <c r="Q38" s="12"/>
      <c r="R38" s="12"/>
      <c r="S38" s="12"/>
      <c r="T38" s="12"/>
    </row>
    <row r="39" spans="2:20">
      <c r="B39" s="5" t="s">
        <v>238</v>
      </c>
      <c r="C39" s="6" t="s">
        <v>239</v>
      </c>
      <c r="D39" s="7" t="s">
        <v>240</v>
      </c>
      <c r="E39" s="12"/>
      <c r="F39" s="12"/>
      <c r="G39" s="12"/>
      <c r="H39" s="12"/>
      <c r="I39" s="12"/>
      <c r="J39" s="12"/>
      <c r="K39" s="13"/>
      <c r="L39" s="13"/>
      <c r="M39" s="13"/>
      <c r="N39" s="13"/>
      <c r="O39" s="12"/>
      <c r="P39" s="12"/>
      <c r="Q39" s="12"/>
      <c r="R39" s="12"/>
      <c r="S39" s="12"/>
      <c r="T39" s="12"/>
    </row>
    <row r="40" spans="2:20">
      <c r="B40" s="5" t="s">
        <v>243</v>
      </c>
      <c r="C40" s="6" t="s">
        <v>244</v>
      </c>
      <c r="D40" s="7" t="s">
        <v>162</v>
      </c>
      <c r="E40" s="12"/>
      <c r="F40" s="12"/>
      <c r="G40" s="12"/>
      <c r="H40" s="12"/>
      <c r="I40" s="15"/>
      <c r="J40" s="15"/>
      <c r="K40" s="15"/>
      <c r="L40" s="15"/>
      <c r="M40" s="12"/>
      <c r="N40" s="12"/>
      <c r="O40" s="12"/>
      <c r="P40" s="12"/>
      <c r="Q40" s="12"/>
      <c r="R40" s="12"/>
      <c r="S40" s="12"/>
      <c r="T40" s="12"/>
    </row>
    <row r="41" spans="2:20">
      <c r="B41" s="5" t="s">
        <v>247</v>
      </c>
      <c r="C41" s="6" t="s">
        <v>248</v>
      </c>
      <c r="D41" s="7" t="s">
        <v>104</v>
      </c>
      <c r="E41" s="12"/>
      <c r="F41" s="12"/>
      <c r="G41" s="12"/>
      <c r="H41" s="12"/>
      <c r="I41" s="12"/>
      <c r="J41" s="13"/>
      <c r="K41" s="13"/>
      <c r="L41" s="13"/>
      <c r="M41" s="13"/>
      <c r="N41" s="12"/>
      <c r="O41" s="12"/>
      <c r="P41" s="12"/>
      <c r="Q41" s="12"/>
      <c r="R41" s="12"/>
      <c r="S41" s="12"/>
      <c r="T41" s="12"/>
    </row>
    <row r="42" spans="2:20">
      <c r="B42" s="5" t="s">
        <v>251</v>
      </c>
      <c r="C42" s="6" t="s">
        <v>252</v>
      </c>
      <c r="D42" s="7" t="s">
        <v>114</v>
      </c>
      <c r="E42" s="12"/>
      <c r="F42" s="12"/>
      <c r="G42" s="12"/>
      <c r="H42" s="12"/>
      <c r="I42" s="12"/>
      <c r="J42" s="12"/>
      <c r="K42" s="12"/>
      <c r="L42" s="13"/>
      <c r="M42" s="13"/>
      <c r="N42" s="13"/>
      <c r="O42" s="13"/>
      <c r="P42" s="13"/>
      <c r="Q42" s="12"/>
      <c r="R42" s="12"/>
      <c r="S42" s="12"/>
      <c r="T42" s="12"/>
    </row>
    <row r="43" spans="2:20">
      <c r="B43" s="5" t="s">
        <v>255</v>
      </c>
      <c r="C43" s="6" t="s">
        <v>256</v>
      </c>
      <c r="D43" s="7" t="s">
        <v>153</v>
      </c>
      <c r="E43" s="12"/>
      <c r="F43" s="12"/>
      <c r="G43" s="12"/>
      <c r="H43" s="12"/>
      <c r="I43" s="12"/>
      <c r="J43" s="12"/>
      <c r="K43" s="12"/>
      <c r="L43" s="12"/>
      <c r="M43" s="12"/>
      <c r="N43" s="13"/>
      <c r="O43" s="13"/>
      <c r="P43" s="13"/>
      <c r="Q43" s="13"/>
      <c r="R43" s="12"/>
      <c r="S43" s="12"/>
      <c r="T43" s="12"/>
    </row>
    <row r="44" spans="2:20">
      <c r="B44" s="5" t="s">
        <v>260</v>
      </c>
      <c r="C44" s="6" t="s">
        <v>261</v>
      </c>
      <c r="D44" s="7" t="s">
        <v>80</v>
      </c>
      <c r="E44" s="12"/>
      <c r="F44" s="12"/>
      <c r="G44" s="12"/>
      <c r="H44" s="12"/>
      <c r="I44" s="12"/>
      <c r="J44" s="12"/>
      <c r="K44" s="12"/>
      <c r="L44" s="12"/>
      <c r="M44" s="11"/>
      <c r="N44" s="11"/>
      <c r="O44" s="11"/>
      <c r="P44" s="11"/>
      <c r="Q44" s="12"/>
      <c r="R44" s="12"/>
      <c r="S44" s="12"/>
      <c r="T44" s="12"/>
    </row>
    <row r="45" spans="2:20">
      <c r="B45" s="5" t="s">
        <v>264</v>
      </c>
      <c r="C45" s="6" t="s">
        <v>265</v>
      </c>
      <c r="D45" s="7" t="s">
        <v>80</v>
      </c>
      <c r="E45" s="12"/>
      <c r="F45" s="12"/>
      <c r="G45" s="12"/>
      <c r="H45" s="12"/>
      <c r="I45" s="12"/>
      <c r="J45" s="12"/>
      <c r="K45" s="12"/>
      <c r="L45" s="11"/>
      <c r="M45" s="11"/>
      <c r="N45" s="11"/>
      <c r="O45" s="11"/>
      <c r="P45" s="12"/>
      <c r="Q45" s="12"/>
      <c r="R45" s="12"/>
      <c r="S45" s="12"/>
      <c r="T45" s="12"/>
    </row>
    <row r="46" spans="2:20">
      <c r="B46" s="5" t="s">
        <v>268</v>
      </c>
      <c r="C46" s="6" t="s">
        <v>269</v>
      </c>
      <c r="D46" s="7" t="s">
        <v>104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3"/>
      <c r="S46" s="13"/>
      <c r="T46" s="12"/>
    </row>
    <row r="48" spans="2:20">
      <c r="B48" s="3" t="s">
        <v>277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2:20">
      <c r="B49" s="5" t="s">
        <v>49</v>
      </c>
      <c r="C49" s="5" t="s">
        <v>48</v>
      </c>
      <c r="D49" s="7" t="s">
        <v>52</v>
      </c>
      <c r="E49" s="12"/>
      <c r="F49" s="12"/>
      <c r="G49" s="12"/>
      <c r="H49" s="16" t="s">
        <v>278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2:20">
      <c r="B50" s="5" t="s">
        <v>54</v>
      </c>
      <c r="C50" s="5" t="s">
        <v>53</v>
      </c>
      <c r="D50" s="7" t="s">
        <v>57</v>
      </c>
      <c r="E50" s="12"/>
      <c r="F50" s="12"/>
      <c r="G50" s="12"/>
      <c r="H50" s="12"/>
      <c r="I50" s="12"/>
      <c r="J50" s="12"/>
      <c r="K50" s="12"/>
      <c r="L50" s="16" t="s">
        <v>278</v>
      </c>
      <c r="M50" s="12"/>
      <c r="N50" s="12"/>
      <c r="O50" s="12"/>
      <c r="P50" s="12"/>
      <c r="Q50" s="12"/>
      <c r="R50" s="12"/>
      <c r="S50" s="12"/>
      <c r="T50" s="12"/>
    </row>
    <row r="51" spans="2:20">
      <c r="B51" s="5" t="s">
        <v>59</v>
      </c>
      <c r="C51" s="5" t="s">
        <v>58</v>
      </c>
      <c r="D51" s="7" t="s">
        <v>62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6" t="s">
        <v>278</v>
      </c>
      <c r="Q51" s="12"/>
      <c r="R51" s="12"/>
      <c r="S51" s="12"/>
      <c r="T51" s="12"/>
    </row>
    <row r="52" spans="2:20">
      <c r="B52" s="5" t="s">
        <v>64</v>
      </c>
      <c r="C52" s="5" t="s">
        <v>63</v>
      </c>
      <c r="D52" s="7" t="s">
        <v>62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6" t="s">
        <v>278</v>
      </c>
    </row>
  </sheetData>
  <mergeCells count="3">
    <mergeCell ref="B2:T2"/>
    <mergeCell ref="B3:T3"/>
    <mergeCell ref="B48:D48"/>
  </mergeCells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C3AED"/>
  </sheetPr>
  <dimension ref="B2:F26"/>
  <sheetViews>
    <sheetView workbookViewId="0"/>
  </sheetViews>
  <sheetFormatPr defaultRowHeight="15"/>
  <cols>
    <col min="1" max="1" width="4.7109375" customWidth="1"/>
    <col min="2" max="2" width="30.7109375" customWidth="1"/>
    <col min="3" max="5" width="14.7109375" customWidth="1"/>
    <col min="6" max="6" width="36.7109375" customWidth="1"/>
  </cols>
  <sheetData>
    <row r="2" spans="2:6">
      <c r="B2" s="1" t="s">
        <v>279</v>
      </c>
      <c r="C2" s="1"/>
      <c r="D2" s="1"/>
      <c r="E2" s="1"/>
      <c r="F2" s="1"/>
    </row>
    <row r="3" spans="2:6">
      <c r="B3" s="2" t="s">
        <v>280</v>
      </c>
      <c r="C3" s="2"/>
      <c r="D3" s="2"/>
      <c r="E3" s="2"/>
      <c r="F3" s="2"/>
    </row>
    <row r="5" spans="2:6">
      <c r="B5" s="4" t="s">
        <v>281</v>
      </c>
      <c r="C5" s="4" t="s">
        <v>282</v>
      </c>
      <c r="D5" s="4" t="s">
        <v>283</v>
      </c>
      <c r="E5" s="4" t="s">
        <v>284</v>
      </c>
      <c r="F5" s="4" t="s">
        <v>285</v>
      </c>
    </row>
    <row r="6" spans="2:6">
      <c r="B6" s="5" t="s">
        <v>286</v>
      </c>
      <c r="C6" s="7" t="s">
        <v>287</v>
      </c>
      <c r="D6" s="7" t="s">
        <v>287</v>
      </c>
      <c r="E6" s="7" t="s">
        <v>288</v>
      </c>
      <c r="F6" s="6" t="s">
        <v>289</v>
      </c>
    </row>
    <row r="7" spans="2:6">
      <c r="B7" s="5" t="s">
        <v>290</v>
      </c>
      <c r="C7" s="7" t="s">
        <v>288</v>
      </c>
      <c r="D7" s="7" t="s">
        <v>288</v>
      </c>
      <c r="E7" s="7" t="s">
        <v>288</v>
      </c>
      <c r="F7" s="6" t="s">
        <v>291</v>
      </c>
    </row>
    <row r="8" spans="2:6">
      <c r="B8" s="5" t="s">
        <v>292</v>
      </c>
      <c r="C8" s="7" t="s">
        <v>288</v>
      </c>
      <c r="D8" s="7" t="s">
        <v>287</v>
      </c>
      <c r="E8" s="7" t="s">
        <v>293</v>
      </c>
      <c r="F8" s="6" t="s">
        <v>294</v>
      </c>
    </row>
    <row r="9" spans="2:6">
      <c r="B9" s="5" t="s">
        <v>295</v>
      </c>
      <c r="C9" s="7" t="s">
        <v>288</v>
      </c>
      <c r="D9" s="7" t="s">
        <v>287</v>
      </c>
      <c r="E9" s="7" t="s">
        <v>293</v>
      </c>
      <c r="F9" s="6" t="s">
        <v>296</v>
      </c>
    </row>
    <row r="10" spans="2:6">
      <c r="B10" s="5" t="s">
        <v>297</v>
      </c>
      <c r="C10" s="7" t="s">
        <v>287</v>
      </c>
      <c r="D10" s="7" t="s">
        <v>288</v>
      </c>
      <c r="E10" s="7" t="s">
        <v>293</v>
      </c>
      <c r="F10" s="6" t="s">
        <v>298</v>
      </c>
    </row>
    <row r="11" spans="2:6">
      <c r="B11" s="5" t="s">
        <v>299</v>
      </c>
      <c r="C11" s="7" t="s">
        <v>300</v>
      </c>
      <c r="D11" s="7" t="s">
        <v>288</v>
      </c>
      <c r="E11" s="7" t="s">
        <v>287</v>
      </c>
      <c r="F11" s="6" t="s">
        <v>301</v>
      </c>
    </row>
    <row r="12" spans="2:6">
      <c r="B12" s="5" t="s">
        <v>302</v>
      </c>
      <c r="C12" s="7" t="s">
        <v>287</v>
      </c>
      <c r="D12" s="7" t="s">
        <v>288</v>
      </c>
      <c r="E12" s="7" t="s">
        <v>287</v>
      </c>
      <c r="F12" s="6" t="s">
        <v>303</v>
      </c>
    </row>
    <row r="13" spans="2:6">
      <c r="B13" s="5" t="s">
        <v>304</v>
      </c>
      <c r="C13" s="7" t="s">
        <v>287</v>
      </c>
      <c r="D13" s="7" t="s">
        <v>287</v>
      </c>
      <c r="E13" s="7" t="s">
        <v>288</v>
      </c>
      <c r="F13" s="6" t="s">
        <v>305</v>
      </c>
    </row>
    <row r="14" spans="2:6">
      <c r="B14" s="5" t="s">
        <v>306</v>
      </c>
      <c r="C14" s="7" t="s">
        <v>287</v>
      </c>
      <c r="D14" s="7" t="s">
        <v>287</v>
      </c>
      <c r="E14" s="7" t="s">
        <v>288</v>
      </c>
      <c r="F14" s="6" t="s">
        <v>307</v>
      </c>
    </row>
    <row r="15" spans="2:6">
      <c r="B15" s="5" t="s">
        <v>308</v>
      </c>
      <c r="C15" s="7" t="s">
        <v>287</v>
      </c>
      <c r="D15" s="7" t="s">
        <v>287</v>
      </c>
      <c r="E15" s="7" t="s">
        <v>288</v>
      </c>
      <c r="F15" s="6" t="s">
        <v>309</v>
      </c>
    </row>
    <row r="16" spans="2:6">
      <c r="B16" s="5" t="s">
        <v>310</v>
      </c>
      <c r="C16" s="7" t="s">
        <v>287</v>
      </c>
      <c r="D16" s="7" t="s">
        <v>288</v>
      </c>
      <c r="E16" s="7" t="s">
        <v>293</v>
      </c>
      <c r="F16" s="6" t="s">
        <v>311</v>
      </c>
    </row>
    <row r="17" spans="2:6">
      <c r="B17" s="5" t="s">
        <v>312</v>
      </c>
      <c r="C17" s="7" t="s">
        <v>288</v>
      </c>
      <c r="D17" s="7" t="s">
        <v>287</v>
      </c>
      <c r="E17" s="7" t="s">
        <v>287</v>
      </c>
      <c r="F17" s="6" t="s">
        <v>313</v>
      </c>
    </row>
    <row r="18" spans="2:6">
      <c r="B18" s="5" t="s">
        <v>314</v>
      </c>
      <c r="C18" s="7" t="s">
        <v>287</v>
      </c>
      <c r="D18" s="7" t="s">
        <v>287</v>
      </c>
      <c r="E18" s="7" t="s">
        <v>288</v>
      </c>
      <c r="F18" s="6" t="s">
        <v>315</v>
      </c>
    </row>
    <row r="21" spans="2:6">
      <c r="B21" s="3" t="s">
        <v>316</v>
      </c>
      <c r="C21" s="3"/>
      <c r="D21" s="3"/>
      <c r="E21" s="3"/>
      <c r="F21" s="3"/>
    </row>
    <row r="22" spans="2:6">
      <c r="B22" s="4" t="s">
        <v>317</v>
      </c>
      <c r="C22" s="4" t="s">
        <v>282</v>
      </c>
      <c r="D22" s="4" t="s">
        <v>283</v>
      </c>
      <c r="E22" s="4" t="s">
        <v>284</v>
      </c>
      <c r="F22" s="4" t="s">
        <v>318</v>
      </c>
    </row>
    <row r="23" spans="2:6">
      <c r="B23" s="5" t="s">
        <v>319</v>
      </c>
      <c r="C23" s="17">
        <v>40</v>
      </c>
      <c r="D23" s="17">
        <v>30</v>
      </c>
      <c r="E23" s="17">
        <v>35</v>
      </c>
      <c r="F23" s="17">
        <f>SUM(C20:E20)</f>
        <v>0</v>
      </c>
    </row>
    <row r="24" spans="2:6">
      <c r="B24" s="5" t="s">
        <v>320</v>
      </c>
      <c r="C24" s="17">
        <v>35</v>
      </c>
      <c r="D24" s="17">
        <v>40</v>
      </c>
      <c r="E24" s="17">
        <v>35</v>
      </c>
      <c r="F24" s="17">
        <f>SUM(C21:E21)</f>
        <v>0</v>
      </c>
    </row>
    <row r="25" spans="2:6">
      <c r="B25" s="5" t="s">
        <v>321</v>
      </c>
      <c r="C25" s="17">
        <v>35</v>
      </c>
      <c r="D25" s="17">
        <v>35</v>
      </c>
      <c r="E25" s="17">
        <v>40</v>
      </c>
      <c r="F25" s="17">
        <f>SUM(C22:E22)</f>
        <v>0</v>
      </c>
    </row>
    <row r="26" spans="2:6">
      <c r="B26" s="5" t="s">
        <v>322</v>
      </c>
      <c r="C26" s="17">
        <v>40</v>
      </c>
      <c r="D26" s="17">
        <v>35</v>
      </c>
      <c r="E26" s="17">
        <v>40</v>
      </c>
      <c r="F26" s="17">
        <f>SUM(C23:E23)</f>
        <v>0</v>
      </c>
    </row>
  </sheetData>
  <mergeCells count="3">
    <mergeCell ref="B2:F2"/>
    <mergeCell ref="B3:F3"/>
    <mergeCell ref="B21:F21"/>
  </mergeCells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97706"/>
  </sheetPr>
  <dimension ref="B2:H22"/>
  <sheetViews>
    <sheetView workbookViewId="0"/>
  </sheetViews>
  <sheetFormatPr defaultRowHeight="15"/>
  <cols>
    <col min="1" max="1" width="4.7109375" customWidth="1"/>
    <col min="2" max="2" width="22.7109375" customWidth="1"/>
    <col min="3" max="4" width="26.7109375" customWidth="1"/>
    <col min="5" max="5" width="14.7109375" customWidth="1"/>
    <col min="6" max="7" width="16.7109375" customWidth="1"/>
    <col min="8" max="8" width="20.7109375" customWidth="1"/>
  </cols>
  <sheetData>
    <row r="2" spans="2:8">
      <c r="B2" s="1" t="s">
        <v>323</v>
      </c>
      <c r="C2" s="1"/>
      <c r="D2" s="1"/>
      <c r="E2" s="1"/>
      <c r="F2" s="1"/>
      <c r="G2" s="1"/>
      <c r="H2" s="1"/>
    </row>
    <row r="3" spans="2:8">
      <c r="B3" s="2" t="s">
        <v>324</v>
      </c>
      <c r="C3" s="2"/>
      <c r="D3" s="2"/>
      <c r="E3" s="2"/>
      <c r="F3" s="2"/>
      <c r="G3" s="2"/>
      <c r="H3" s="2"/>
    </row>
    <row r="5" spans="2:8">
      <c r="B5" s="4" t="s">
        <v>325</v>
      </c>
      <c r="C5" s="4" t="s">
        <v>326</v>
      </c>
      <c r="D5" s="4" t="s">
        <v>327</v>
      </c>
      <c r="E5" s="4" t="s">
        <v>328</v>
      </c>
      <c r="F5" s="4" t="s">
        <v>329</v>
      </c>
      <c r="G5" s="4" t="s">
        <v>330</v>
      </c>
      <c r="H5" s="4" t="s">
        <v>331</v>
      </c>
    </row>
    <row r="6" spans="2:8">
      <c r="B6" s="5" t="s">
        <v>332</v>
      </c>
      <c r="C6" s="6" t="s">
        <v>333</v>
      </c>
      <c r="D6" s="6" t="s">
        <v>334</v>
      </c>
      <c r="E6" s="6" t="s">
        <v>335</v>
      </c>
      <c r="F6" s="18">
        <v>450</v>
      </c>
      <c r="G6" s="18">
        <v>0</v>
      </c>
      <c r="H6" s="19">
        <f>F6*15.5</f>
        <v>0</v>
      </c>
    </row>
    <row r="7" spans="2:8">
      <c r="B7" s="5" t="s">
        <v>332</v>
      </c>
      <c r="C7" s="6" t="s">
        <v>336</v>
      </c>
      <c r="D7" s="6" t="s">
        <v>337</v>
      </c>
      <c r="E7" s="6" t="s">
        <v>338</v>
      </c>
      <c r="F7" s="18">
        <v>2500</v>
      </c>
      <c r="G7" s="18">
        <v>300</v>
      </c>
      <c r="H7" s="19">
        <f>G7*15.5</f>
        <v>0</v>
      </c>
    </row>
    <row r="8" spans="2:8">
      <c r="B8" s="5" t="s">
        <v>339</v>
      </c>
      <c r="C8" s="6" t="s">
        <v>340</v>
      </c>
      <c r="D8" s="6" t="s">
        <v>341</v>
      </c>
      <c r="E8" s="6" t="s">
        <v>342</v>
      </c>
      <c r="F8" s="18">
        <v>1500</v>
      </c>
      <c r="G8" s="18">
        <v>250</v>
      </c>
      <c r="H8" s="19">
        <f>G8*15.5</f>
        <v>0</v>
      </c>
    </row>
    <row r="9" spans="2:8">
      <c r="B9" s="5" t="s">
        <v>343</v>
      </c>
      <c r="C9" s="6" t="s">
        <v>344</v>
      </c>
      <c r="D9" s="6" t="s">
        <v>345</v>
      </c>
      <c r="E9" s="6" t="s">
        <v>346</v>
      </c>
      <c r="F9" s="18">
        <v>2000</v>
      </c>
      <c r="G9" s="18">
        <v>0</v>
      </c>
      <c r="H9" s="19">
        <f>F9*15.5</f>
        <v>0</v>
      </c>
    </row>
    <row r="10" spans="2:8">
      <c r="B10" s="5" t="s">
        <v>347</v>
      </c>
      <c r="C10" s="6" t="s">
        <v>348</v>
      </c>
      <c r="D10" s="6" t="s">
        <v>349</v>
      </c>
      <c r="E10" s="6" t="s">
        <v>350</v>
      </c>
      <c r="F10" s="18">
        <v>2500</v>
      </c>
      <c r="G10" s="18">
        <v>0</v>
      </c>
      <c r="H10" s="19">
        <f>F10*15.5</f>
        <v>0</v>
      </c>
    </row>
    <row r="11" spans="2:8">
      <c r="B11" s="5" t="s">
        <v>351</v>
      </c>
      <c r="C11" s="6" t="s">
        <v>352</v>
      </c>
      <c r="D11" s="6" t="s">
        <v>353</v>
      </c>
      <c r="E11" s="6" t="s">
        <v>354</v>
      </c>
      <c r="F11" s="18">
        <v>350</v>
      </c>
      <c r="G11" s="18">
        <v>0</v>
      </c>
      <c r="H11" s="19">
        <f>F11*15.5</f>
        <v>0</v>
      </c>
    </row>
    <row r="12" spans="2:8">
      <c r="B12" s="5" t="s">
        <v>355</v>
      </c>
      <c r="C12" s="6" t="s">
        <v>356</v>
      </c>
      <c r="D12" s="6" t="s">
        <v>357</v>
      </c>
      <c r="E12" s="6" t="s">
        <v>358</v>
      </c>
      <c r="F12" s="18">
        <v>500</v>
      </c>
      <c r="G12" s="18">
        <v>0</v>
      </c>
      <c r="H12" s="19">
        <f>F12*15.5</f>
        <v>0</v>
      </c>
    </row>
    <row r="13" spans="2:8">
      <c r="B13" s="5" t="s">
        <v>359</v>
      </c>
      <c r="C13" s="6" t="s">
        <v>360</v>
      </c>
      <c r="D13" s="6" t="s">
        <v>361</v>
      </c>
      <c r="E13" s="6" t="s">
        <v>362</v>
      </c>
      <c r="F13" s="18">
        <v>2000</v>
      </c>
      <c r="G13" s="18">
        <v>150</v>
      </c>
      <c r="H13" s="19">
        <f>G13*15.5</f>
        <v>0</v>
      </c>
    </row>
    <row r="14" spans="2:8">
      <c r="B14" s="5" t="s">
        <v>363</v>
      </c>
      <c r="C14" s="6" t="s">
        <v>364</v>
      </c>
      <c r="D14" s="6" t="s">
        <v>365</v>
      </c>
      <c r="E14" s="6" t="s">
        <v>366</v>
      </c>
      <c r="F14" s="18">
        <v>0</v>
      </c>
      <c r="G14" s="18">
        <v>150</v>
      </c>
      <c r="H14" s="19">
        <f>G14*15.5</f>
        <v>0</v>
      </c>
    </row>
    <row r="15" spans="2:8">
      <c r="B15" s="5" t="s">
        <v>363</v>
      </c>
      <c r="C15" s="6" t="s">
        <v>367</v>
      </c>
      <c r="D15" s="6" t="s">
        <v>368</v>
      </c>
      <c r="E15" s="6" t="s">
        <v>369</v>
      </c>
      <c r="F15" s="18">
        <v>500</v>
      </c>
      <c r="G15" s="18">
        <v>250</v>
      </c>
      <c r="H15" s="19">
        <f>G15*15.5</f>
        <v>0</v>
      </c>
    </row>
    <row r="16" spans="2:8">
      <c r="B16" s="5" t="s">
        <v>363</v>
      </c>
      <c r="C16" s="6" t="s">
        <v>370</v>
      </c>
      <c r="D16" s="6" t="s">
        <v>371</v>
      </c>
      <c r="E16" s="6" t="s">
        <v>372</v>
      </c>
      <c r="F16" s="18">
        <v>1000</v>
      </c>
      <c r="G16" s="18">
        <v>300</v>
      </c>
      <c r="H16" s="19">
        <f>G16*15.5</f>
        <v>0</v>
      </c>
    </row>
    <row r="17" spans="2:8">
      <c r="B17" s="5" t="s">
        <v>373</v>
      </c>
      <c r="C17" s="6" t="s">
        <v>374</v>
      </c>
      <c r="D17" s="6" t="s">
        <v>375</v>
      </c>
      <c r="E17" s="6" t="s">
        <v>376</v>
      </c>
      <c r="F17" s="18">
        <v>0</v>
      </c>
      <c r="G17" s="18">
        <v>200</v>
      </c>
      <c r="H17" s="19">
        <f>G17*15.5</f>
        <v>0</v>
      </c>
    </row>
    <row r="18" spans="2:8">
      <c r="B18" s="5" t="s">
        <v>377</v>
      </c>
      <c r="C18" s="6" t="s">
        <v>378</v>
      </c>
      <c r="D18" s="6" t="s">
        <v>379</v>
      </c>
      <c r="E18" s="6" t="s">
        <v>380</v>
      </c>
      <c r="F18" s="18">
        <v>1500</v>
      </c>
      <c r="G18" s="18">
        <v>750</v>
      </c>
      <c r="H18" s="19">
        <f>G18*15.5</f>
        <v>0</v>
      </c>
    </row>
    <row r="19" spans="2:8">
      <c r="B19" s="5" t="s">
        <v>381</v>
      </c>
      <c r="C19" s="6" t="s">
        <v>382</v>
      </c>
      <c r="D19" s="6" t="s">
        <v>383</v>
      </c>
      <c r="E19" s="6" t="s">
        <v>384</v>
      </c>
      <c r="F19" s="18">
        <v>1000</v>
      </c>
      <c r="G19" s="18">
        <v>400</v>
      </c>
      <c r="H19" s="19">
        <f>G19*15.5</f>
        <v>0</v>
      </c>
    </row>
    <row r="20" spans="2:8">
      <c r="B20" s="5" t="s">
        <v>385</v>
      </c>
      <c r="C20" s="6" t="s">
        <v>386</v>
      </c>
      <c r="D20" s="6" t="s">
        <v>387</v>
      </c>
      <c r="E20" s="6" t="s">
        <v>388</v>
      </c>
      <c r="F20" s="18">
        <v>0</v>
      </c>
      <c r="G20" s="18">
        <v>250</v>
      </c>
      <c r="H20" s="19">
        <f>G20*15.5</f>
        <v>0</v>
      </c>
    </row>
    <row r="21" spans="2:8">
      <c r="B21" s="5" t="s">
        <v>389</v>
      </c>
      <c r="C21" s="6" t="s">
        <v>390</v>
      </c>
      <c r="D21" s="6" t="s">
        <v>391</v>
      </c>
      <c r="E21" s="6" t="s">
        <v>392</v>
      </c>
      <c r="F21" s="18">
        <v>3500</v>
      </c>
      <c r="G21" s="18">
        <v>0</v>
      </c>
      <c r="H21" s="19">
        <f>F21*15.5</f>
        <v>0</v>
      </c>
    </row>
    <row r="22" spans="2:8">
      <c r="B22" s="4" t="s">
        <v>393</v>
      </c>
      <c r="C22" s="4"/>
      <c r="D22" s="4"/>
      <c r="E22" s="4"/>
      <c r="F22" s="4">
        <f>SUM(F6:F21)</f>
        <v>0</v>
      </c>
      <c r="G22" s="4">
        <f>SUM(G6:G21)</f>
        <v>0</v>
      </c>
      <c r="H22" s="4">
        <f>SUM(H6:H21)</f>
        <v>0</v>
      </c>
    </row>
  </sheetData>
  <mergeCells count="2">
    <mergeCell ref="B2:H2"/>
    <mergeCell ref="B3:H3"/>
  </mergeCells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59669"/>
  </sheetPr>
  <dimension ref="B2:G14"/>
  <sheetViews>
    <sheetView workbookViewId="0"/>
  </sheetViews>
  <sheetFormatPr defaultRowHeight="15"/>
  <cols>
    <col min="1" max="1" width="4.7109375" customWidth="1"/>
    <col min="2" max="2" width="12.7109375" customWidth="1"/>
    <col min="3" max="3" width="34.7109375" customWidth="1"/>
    <col min="4" max="4" width="24.7109375" customWidth="1"/>
    <col min="5" max="6" width="14.7109375" customWidth="1"/>
    <col min="7" max="7" width="36.7109375" customWidth="1"/>
  </cols>
  <sheetData>
    <row r="2" spans="2:7">
      <c r="B2" s="1" t="s">
        <v>394</v>
      </c>
      <c r="C2" s="1"/>
      <c r="D2" s="1"/>
      <c r="E2" s="1"/>
      <c r="F2" s="1"/>
      <c r="G2" s="1"/>
    </row>
    <row r="3" spans="2:7">
      <c r="B3" s="2" t="s">
        <v>395</v>
      </c>
      <c r="C3" s="2"/>
      <c r="D3" s="2"/>
      <c r="E3" s="2"/>
      <c r="F3" s="2"/>
      <c r="G3" s="2"/>
    </row>
    <row r="5" spans="2:7">
      <c r="B5" s="4" t="s">
        <v>396</v>
      </c>
      <c r="C5" s="4" t="s">
        <v>397</v>
      </c>
      <c r="D5" s="4" t="s">
        <v>398</v>
      </c>
      <c r="E5" s="4" t="s">
        <v>399</v>
      </c>
      <c r="F5" s="4" t="s">
        <v>47</v>
      </c>
      <c r="G5" s="4" t="s">
        <v>400</v>
      </c>
    </row>
    <row r="6" spans="2:7">
      <c r="B6" s="5" t="s">
        <v>401</v>
      </c>
      <c r="C6" s="5" t="s">
        <v>402</v>
      </c>
      <c r="D6" s="6" t="s">
        <v>403</v>
      </c>
      <c r="E6" s="7" t="s">
        <v>80</v>
      </c>
      <c r="F6" s="8" t="s">
        <v>404</v>
      </c>
      <c r="G6" s="6" t="s">
        <v>405</v>
      </c>
    </row>
    <row r="7" spans="2:7">
      <c r="B7" s="5" t="s">
        <v>406</v>
      </c>
      <c r="C7" s="5" t="s">
        <v>407</v>
      </c>
      <c r="D7" s="6" t="s">
        <v>408</v>
      </c>
      <c r="E7" s="7" t="s">
        <v>104</v>
      </c>
      <c r="F7" s="9" t="s">
        <v>57</v>
      </c>
      <c r="G7" s="6" t="s">
        <v>409</v>
      </c>
    </row>
    <row r="8" spans="2:7">
      <c r="B8" s="5" t="s">
        <v>410</v>
      </c>
      <c r="C8" s="5" t="s">
        <v>411</v>
      </c>
      <c r="D8" s="6" t="s">
        <v>412</v>
      </c>
      <c r="E8" s="7" t="s">
        <v>162</v>
      </c>
      <c r="F8" s="8" t="s">
        <v>404</v>
      </c>
      <c r="G8" s="6" t="s">
        <v>413</v>
      </c>
    </row>
    <row r="9" spans="2:7">
      <c r="B9" s="5" t="s">
        <v>414</v>
      </c>
      <c r="C9" s="5" t="s">
        <v>415</v>
      </c>
      <c r="D9" s="6" t="s">
        <v>416</v>
      </c>
      <c r="E9" s="7" t="s">
        <v>125</v>
      </c>
      <c r="F9" s="8" t="s">
        <v>404</v>
      </c>
      <c r="G9" s="6" t="s">
        <v>417</v>
      </c>
    </row>
    <row r="10" spans="2:7">
      <c r="B10" s="5" t="s">
        <v>418</v>
      </c>
      <c r="C10" s="5" t="s">
        <v>419</v>
      </c>
      <c r="D10" s="6" t="s">
        <v>420</v>
      </c>
      <c r="E10" s="7" t="s">
        <v>212</v>
      </c>
      <c r="F10" s="9" t="s">
        <v>57</v>
      </c>
      <c r="G10" s="6" t="s">
        <v>421</v>
      </c>
    </row>
    <row r="11" spans="2:7">
      <c r="B11" s="5" t="s">
        <v>422</v>
      </c>
      <c r="C11" s="5" t="s">
        <v>423</v>
      </c>
      <c r="D11" s="6" t="s">
        <v>424</v>
      </c>
      <c r="E11" s="7" t="s">
        <v>162</v>
      </c>
      <c r="F11" s="8" t="s">
        <v>404</v>
      </c>
      <c r="G11" s="6" t="s">
        <v>425</v>
      </c>
    </row>
    <row r="12" spans="2:7">
      <c r="B12" s="5" t="s">
        <v>426</v>
      </c>
      <c r="C12" s="5" t="s">
        <v>427</v>
      </c>
      <c r="D12" s="6" t="s">
        <v>428</v>
      </c>
      <c r="E12" s="7" t="s">
        <v>162</v>
      </c>
      <c r="F12" s="8" t="s">
        <v>404</v>
      </c>
      <c r="G12" s="6" t="s">
        <v>429</v>
      </c>
    </row>
    <row r="13" spans="2:7">
      <c r="B13" s="5" t="s">
        <v>430</v>
      </c>
      <c r="C13" s="5" t="s">
        <v>431</v>
      </c>
      <c r="D13" s="6" t="s">
        <v>432</v>
      </c>
      <c r="E13" s="7" t="s">
        <v>125</v>
      </c>
      <c r="F13" s="9" t="s">
        <v>57</v>
      </c>
      <c r="G13" s="6" t="s">
        <v>433</v>
      </c>
    </row>
    <row r="14" spans="2:7">
      <c r="B14" s="5" t="s">
        <v>434</v>
      </c>
      <c r="C14" s="5" t="s">
        <v>435</v>
      </c>
      <c r="D14" s="6" t="s">
        <v>436</v>
      </c>
      <c r="E14" s="7" t="s">
        <v>114</v>
      </c>
      <c r="F14" s="9" t="s">
        <v>57</v>
      </c>
      <c r="G14" s="6" t="s">
        <v>437</v>
      </c>
    </row>
  </sheetData>
  <mergeCells count="2">
    <mergeCell ref="B2:G2"/>
    <mergeCell ref="B3:G3"/>
  </mergeCells>
  <printOptions gridLine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C4899"/>
  </sheetPr>
  <dimension ref="B2:F15"/>
  <sheetViews>
    <sheetView workbookViewId="0"/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2.7109375" customWidth="1"/>
    <col min="5" max="5" width="36.7109375" customWidth="1"/>
    <col min="6" max="6" width="14.7109375" customWidth="1"/>
  </cols>
  <sheetData>
    <row r="2" spans="2:6">
      <c r="B2" s="1" t="s">
        <v>438</v>
      </c>
      <c r="C2" s="1"/>
      <c r="D2" s="1"/>
      <c r="E2" s="1"/>
      <c r="F2" s="1"/>
    </row>
    <row r="3" spans="2:6">
      <c r="B3" s="2" t="s">
        <v>439</v>
      </c>
      <c r="C3" s="2"/>
      <c r="D3" s="2"/>
      <c r="E3" s="2"/>
      <c r="F3" s="2"/>
    </row>
    <row r="5" spans="2:6">
      <c r="B5" s="4" t="s">
        <v>440</v>
      </c>
      <c r="C5" s="4" t="s">
        <v>441</v>
      </c>
      <c r="D5" s="4" t="s">
        <v>442</v>
      </c>
      <c r="E5" s="4" t="s">
        <v>443</v>
      </c>
      <c r="F5" s="4" t="s">
        <v>44</v>
      </c>
    </row>
    <row r="6" spans="2:6">
      <c r="B6" s="5" t="s">
        <v>444</v>
      </c>
      <c r="C6" s="5" t="s">
        <v>445</v>
      </c>
      <c r="D6" s="6" t="s">
        <v>446</v>
      </c>
      <c r="E6" s="6" t="s">
        <v>447</v>
      </c>
      <c r="F6" s="7" t="s">
        <v>448</v>
      </c>
    </row>
    <row r="7" spans="2:6">
      <c r="B7" s="5" t="s">
        <v>449</v>
      </c>
      <c r="C7" s="5" t="s">
        <v>450</v>
      </c>
      <c r="D7" s="6" t="s">
        <v>451</v>
      </c>
      <c r="E7" s="6" t="s">
        <v>452</v>
      </c>
      <c r="F7" s="7" t="s">
        <v>453</v>
      </c>
    </row>
    <row r="8" spans="2:6">
      <c r="B8" s="5" t="s">
        <v>454</v>
      </c>
      <c r="C8" s="5" t="s">
        <v>455</v>
      </c>
      <c r="D8" s="6" t="s">
        <v>456</v>
      </c>
      <c r="E8" s="6" t="s">
        <v>457</v>
      </c>
      <c r="F8" s="7" t="s">
        <v>453</v>
      </c>
    </row>
    <row r="9" spans="2:6">
      <c r="B9" s="5" t="s">
        <v>458</v>
      </c>
      <c r="C9" s="5" t="s">
        <v>459</v>
      </c>
      <c r="D9" s="6" t="s">
        <v>460</v>
      </c>
      <c r="E9" s="6" t="s">
        <v>461</v>
      </c>
      <c r="F9" s="7" t="s">
        <v>462</v>
      </c>
    </row>
    <row r="10" spans="2:6">
      <c r="B10" s="5" t="s">
        <v>463</v>
      </c>
      <c r="C10" s="5" t="s">
        <v>352</v>
      </c>
      <c r="D10" s="6" t="s">
        <v>353</v>
      </c>
      <c r="E10" s="6" t="s">
        <v>464</v>
      </c>
      <c r="F10" s="7" t="s">
        <v>465</v>
      </c>
    </row>
    <row r="11" spans="2:6">
      <c r="B11" s="5" t="s">
        <v>466</v>
      </c>
      <c r="C11" s="5" t="s">
        <v>467</v>
      </c>
      <c r="D11" s="6" t="s">
        <v>468</v>
      </c>
      <c r="E11" s="6" t="s">
        <v>469</v>
      </c>
      <c r="F11" s="7" t="s">
        <v>470</v>
      </c>
    </row>
    <row r="12" spans="2:6">
      <c r="B12" s="5" t="s">
        <v>471</v>
      </c>
      <c r="C12" s="5" t="s">
        <v>472</v>
      </c>
      <c r="D12" s="6" t="s">
        <v>473</v>
      </c>
      <c r="E12" s="6" t="s">
        <v>474</v>
      </c>
      <c r="F12" s="7" t="s">
        <v>475</v>
      </c>
    </row>
    <row r="13" spans="2:6">
      <c r="B13" s="5" t="s">
        <v>476</v>
      </c>
      <c r="C13" s="5" t="s">
        <v>477</v>
      </c>
      <c r="D13" s="6" t="s">
        <v>478</v>
      </c>
      <c r="E13" s="6" t="s">
        <v>479</v>
      </c>
      <c r="F13" s="7" t="s">
        <v>480</v>
      </c>
    </row>
    <row r="14" spans="2:6">
      <c r="B14" s="5" t="s">
        <v>481</v>
      </c>
      <c r="C14" s="5" t="s">
        <v>482</v>
      </c>
      <c r="D14" s="6" t="s">
        <v>483</v>
      </c>
      <c r="E14" s="6" t="s">
        <v>484</v>
      </c>
      <c r="F14" s="7" t="s">
        <v>485</v>
      </c>
    </row>
    <row r="15" spans="2:6">
      <c r="B15" s="5" t="s">
        <v>486</v>
      </c>
      <c r="C15" s="5" t="s">
        <v>348</v>
      </c>
      <c r="D15" s="6" t="s">
        <v>487</v>
      </c>
      <c r="E15" s="6" t="s">
        <v>488</v>
      </c>
      <c r="F15" s="7" t="s">
        <v>489</v>
      </c>
    </row>
  </sheetData>
  <mergeCells count="2">
    <mergeCell ref="B2:F2"/>
    <mergeCell ref="B3:F3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Exec Summary &amp; Strategy</vt:lpstr>
      <vt:lpstr>2. Master Schedule (WBS)</vt:lpstr>
      <vt:lpstr>3. 16-Week Gantt Timeline</vt:lpstr>
      <vt:lpstr>4. Partner RACI &amp; Governance</vt:lpstr>
      <vt:lpstr>5. Complete Budget &amp; Costs</vt:lpstr>
      <vt:lpstr>6. BoG Sandbox Filing Checklist</vt:lpstr>
      <vt:lpstr>7. Corporate &amp; Reg 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2026-08-20T02:30:36Z</dcterms:created>
  <dcterms:modified xsi:type="dcterms:W3CDTF">2026-08-20T02:30:36Z</dcterms:modified>
</cp:coreProperties>
</file>